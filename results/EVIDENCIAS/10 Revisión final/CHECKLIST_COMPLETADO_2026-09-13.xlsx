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56df2b9a7ccb28b8/Desktop/ARTICULO DE PSILOCIBINA/gitubn/Rama-de-revisi-n-sistem-tica-/results/EVIDENCIAS/10 Revisión final/"/>
    </mc:Choice>
  </mc:AlternateContent>
  <xr:revisionPtr revIDLastSave="248" documentId="8_{E1C8554C-025E-4E4E-8C6E-5DB9F1AEFEA5}" xr6:coauthVersionLast="47" xr6:coauthVersionMax="47" xr10:uidLastSave="{265BE39D-E735-40F3-A0BA-2AFC5B337907}"/>
  <bookViews>
    <workbookView xWindow="-120" yWindow="-120" windowWidth="20730" windowHeight="11040" activeTab="2" xr2:uid="{410CF46D-D88C-4FDB-B3F4-1A2302ECC639}"/>
  </bookViews>
  <sheets>
    <sheet name="CALENDARIO" sheetId="9" r:id="rId1"/>
    <sheet name="Hoja2" sheetId="13" state="hidden" r:id="rId2"/>
    <sheet name="Checklist" sheetId="4" r:id="rId3"/>
    <sheet name="Hoja3" sheetId="36" state="hidden" r:id="rId4"/>
    <sheet name="SeccinTema-tem-Checklistitem." sheetId="2" state="hidden" r:id="rId5"/>
  </sheets>
  <definedNames>
    <definedName name="_xlnm._FilterDatabase" localSheetId="2" hidden="1">Checklist!$A$1:$K$155</definedName>
  </definedNames>
  <calcPr calcId="191029"/>
  <pivotCaches>
    <pivotCache cacheId="3"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9" l="1"/>
  <c r="G37" i="9"/>
  <c r="G38" i="9"/>
  <c r="G39" i="9"/>
  <c r="G40" i="9"/>
  <c r="G41" i="9"/>
  <c r="G42" i="9"/>
  <c r="G43" i="9"/>
  <c r="G44" i="9"/>
  <c r="G45" i="9"/>
  <c r="J58" i="4"/>
  <c r="K36" i="9"/>
  <c r="N37" i="9"/>
  <c r="J38" i="9"/>
  <c r="M39" i="9"/>
  <c r="M40" i="9"/>
  <c r="N41" i="9"/>
  <c r="J42" i="9"/>
  <c r="M43" i="9"/>
  <c r="M44" i="9"/>
  <c r="N45" i="9"/>
  <c r="G46" i="9" l="1"/>
  <c r="L36" i="9"/>
  <c r="L42" i="9"/>
  <c r="M36" i="9"/>
  <c r="L44" i="9"/>
  <c r="L40" i="9"/>
  <c r="M42" i="9"/>
  <c r="M38" i="9"/>
  <c r="N44" i="9"/>
  <c r="N40" i="9"/>
  <c r="N36" i="9"/>
  <c r="L43" i="9"/>
  <c r="L39" i="9"/>
  <c r="M45" i="9"/>
  <c r="M41" i="9"/>
  <c r="M37" i="9"/>
  <c r="N43" i="9"/>
  <c r="N39" i="9"/>
  <c r="L38" i="9"/>
  <c r="N42" i="9"/>
  <c r="N38" i="9"/>
  <c r="L45" i="9"/>
  <c r="L41" i="9"/>
  <c r="L37" i="9"/>
  <c r="J44" i="9"/>
  <c r="J40" i="9"/>
  <c r="J36" i="9"/>
  <c r="K44" i="9"/>
  <c r="K40" i="9"/>
  <c r="J43" i="9"/>
  <c r="J39" i="9"/>
  <c r="K43" i="9"/>
  <c r="K39" i="9"/>
  <c r="K42" i="9"/>
  <c r="K38" i="9"/>
  <c r="J45" i="9"/>
  <c r="J41" i="9"/>
  <c r="J37" i="9"/>
  <c r="K45" i="9"/>
  <c r="K41" i="9"/>
  <c r="K37" i="9"/>
  <c r="J4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3" i="4"/>
  <c r="J155" i="4"/>
  <c r="J154" i="4"/>
  <c r="J153" i="4"/>
  <c r="J152" i="4"/>
  <c r="J151" i="4"/>
  <c r="J150" i="4"/>
  <c r="J148" i="4"/>
  <c r="J147" i="4"/>
  <c r="J146" i="4"/>
  <c r="J145" i="4"/>
  <c r="J144" i="4"/>
  <c r="J143" i="4"/>
  <c r="J141" i="4"/>
  <c r="J140" i="4"/>
  <c r="J139" i="4"/>
  <c r="J137" i="4"/>
  <c r="J136" i="4"/>
  <c r="J134" i="4"/>
  <c r="J133" i="4"/>
  <c r="J132" i="4"/>
  <c r="J130" i="4"/>
  <c r="J129" i="4"/>
  <c r="J128" i="4"/>
  <c r="J126" i="4"/>
  <c r="J125" i="4"/>
  <c r="J124" i="4"/>
  <c r="J87" i="4"/>
  <c r="J85" i="4"/>
  <c r="J84" i="4"/>
  <c r="J82" i="4"/>
  <c r="J80" i="4"/>
  <c r="J79" i="4"/>
  <c r="J78" i="4"/>
  <c r="J77" i="4"/>
  <c r="J76" i="4"/>
  <c r="J75" i="4"/>
  <c r="J73" i="4"/>
  <c r="J72" i="4"/>
  <c r="J71" i="4"/>
  <c r="J70" i="4"/>
  <c r="J69" i="4"/>
  <c r="J68" i="4"/>
  <c r="J67" i="4"/>
  <c r="J65" i="4"/>
  <c r="J64" i="4"/>
  <c r="J62" i="4"/>
  <c r="J61" i="4"/>
  <c r="J59" i="4"/>
  <c r="J57" i="4"/>
  <c r="J56" i="4"/>
  <c r="J54" i="4"/>
  <c r="J52" i="4"/>
  <c r="J50" i="4"/>
  <c r="J49" i="4"/>
  <c r="J48" i="4"/>
  <c r="J46" i="4"/>
  <c r="J45" i="4"/>
  <c r="J43" i="4"/>
  <c r="J42" i="4"/>
  <c r="J41" i="4"/>
  <c r="J40" i="4"/>
  <c r="J38" i="4"/>
  <c r="J37" i="4"/>
  <c r="J36" i="4"/>
  <c r="J35" i="4"/>
  <c r="J34" i="4"/>
  <c r="J33" i="4"/>
  <c r="J32" i="4"/>
  <c r="J31" i="4"/>
  <c r="J30" i="4"/>
  <c r="J29" i="4"/>
  <c r="J28" i="4"/>
  <c r="J26" i="4"/>
  <c r="J25" i="4"/>
  <c r="J24" i="4"/>
  <c r="J23" i="4"/>
  <c r="J22" i="4"/>
  <c r="J21" i="4"/>
  <c r="J20" i="4"/>
  <c r="J19" i="4"/>
  <c r="J18" i="4"/>
  <c r="J17" i="4"/>
  <c r="J16" i="4"/>
  <c r="J15" i="4"/>
  <c r="J14" i="4"/>
  <c r="J13" i="4"/>
  <c r="J12" i="4"/>
  <c r="J11" i="4"/>
  <c r="J10" i="4"/>
  <c r="J8" i="4"/>
  <c r="J7" i="4"/>
  <c r="J5" i="4"/>
  <c r="J3" i="4"/>
  <c r="I42" i="9" l="1"/>
  <c r="H42" i="9" s="1"/>
  <c r="I41" i="9"/>
  <c r="H41" i="9" s="1"/>
  <c r="F41" i="9" s="1"/>
  <c r="I45" i="9"/>
  <c r="H45" i="9" s="1"/>
  <c r="I44" i="9"/>
  <c r="H44" i="9" s="1"/>
  <c r="F44" i="9" s="1"/>
  <c r="I39" i="9"/>
  <c r="H39" i="9" s="1"/>
  <c r="F39" i="9" s="1"/>
  <c r="I36" i="9"/>
  <c r="H36" i="9" s="1"/>
  <c r="I43" i="9"/>
  <c r="I40" i="9"/>
  <c r="H40" i="9" s="1"/>
  <c r="F40" i="9" s="1"/>
  <c r="G22" i="36"/>
  <c r="I37" i="9"/>
  <c r="H37" i="9" s="1"/>
  <c r="F37" i="9" s="1"/>
  <c r="I38" i="9"/>
  <c r="H38" i="9" s="1"/>
  <c r="F38" i="9" s="1"/>
  <c r="K46" i="9"/>
  <c r="J46" i="9"/>
  <c r="N46" i="9"/>
  <c r="L46" i="9"/>
  <c r="M46" i="9"/>
  <c r="F42" i="9"/>
  <c r="F45" i="9"/>
  <c r="I46" i="9" l="1"/>
  <c r="H43" i="9"/>
  <c r="F43" i="9" s="1"/>
  <c r="F36" i="9"/>
  <c r="H46" i="9" l="1"/>
  <c r="F46"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DA9D5-CBFE-45FC-89C0-B0C087B14211}" keepAlive="1" name="Consulta - Tabla1" description="Conexión a la consulta 'Tabla1' en el libro." type="5" refreshedVersion="0" background="1" saveData="1">
    <dbPr connection="Provider=Microsoft.Mashup.OleDb.1;Data Source=$Workbook$;Location=Tabla1;Extended Properties=&quot;&quot;" command="SELECT * FROM [Tabla1]"/>
  </connection>
</connections>
</file>

<file path=xl/sharedStrings.xml><?xml version="1.0" encoding="utf-8"?>
<sst xmlns="http://schemas.openxmlformats.org/spreadsheetml/2006/main" count="707" uniqueCount="425">
  <si>
    <t>RESUMEN</t>
  </si>
  <si>
    <t>RESULTADOS</t>
  </si>
  <si>
    <t>FINANCIAMIENTO</t>
  </si>
  <si>
    <t>Sección/Tema</t>
  </si>
  <si>
    <t xml:space="preserve">    Ítem       </t>
  </si>
  <si>
    <t>Elemento de la lista de verificación</t>
  </si>
  <si>
    <t>TÍTULO </t>
  </si>
  <si>
    <t xml:space="preserve"> Identificar el documento como revisión sistemática, metaanálisis o ambos.</t>
  </si>
  <si>
    <t>Presentar un resumen estructurado que incluya antecedentes, objetivos, fuentes, criterios, métodos, resultados, limitaciones y conclusiones.</t>
  </si>
  <si>
    <t>INTRODUCCIÓN</t>
  </si>
  <si>
    <t>MÉTODOS</t>
  </si>
  <si>
    <t>DISCUSIÓN</t>
  </si>
  <si>
    <t>Describir protocolo y registro, criterios de elegibilidad, fuentes de información, estrategia de búsqueda, selección de estudios, recolección y elementos de datos, evaluación del riesgo de sesgo, medidas de resumen, síntesis de resultados y análisis adicionales.</t>
  </si>
  <si>
    <t>Resumir la evidencia, discutir las limitaciones y presentar las conclusiones.</t>
  </si>
  <si>
    <t>Presentar la selección y características de los estudios, el riesgo de sesgo, los resultados individuales, la síntesis, los sesgos de notificación y los análisis adicionales.</t>
  </si>
  <si>
    <t>Indicar las fuentes de financiamiento y el papel de los financiadores.</t>
  </si>
  <si>
    <t>3 a 4</t>
  </si>
  <si>
    <t>5 a 16</t>
  </si>
  <si>
    <t>17 a 23</t>
  </si>
  <si>
    <t>24 a 26</t>
  </si>
  <si>
    <t>fecha</t>
  </si>
  <si>
    <t>Miss Andrea Estefania Aranda Rosas</t>
  </si>
  <si>
    <t>Mr Leandro Jesus Lozano Garcia</t>
  </si>
  <si>
    <t>Dr Sandra Martinez Robles</t>
  </si>
  <si>
    <t>Professor Miguel Angel Trejo-Rodriguez</t>
  </si>
  <si>
    <t>Professor Erik Gonzalez-Ballesteros</t>
  </si>
  <si>
    <t>ASESOR</t>
  </si>
  <si>
    <t>ASESOR, AUTOR</t>
  </si>
  <si>
    <t>AUTOR, REVISOR</t>
  </si>
  <si>
    <t>PROTOCOLO</t>
  </si>
  <si>
    <t xml:space="preserve">Sección/tema </t>
  </si>
  <si>
    <t>ítem #</t>
  </si>
  <si>
    <t>TITLE</t>
  </si>
  <si>
    <t xml:space="preserve">Titulo </t>
  </si>
  <si>
    <t xml:space="preserve">Identificar la publicación como revisión sistemática, </t>
  </si>
  <si>
    <t xml:space="preserve">Resumen  </t>
  </si>
  <si>
    <t xml:space="preserve">Consulte la lista de comprobación PRISMA 2020 para resúmenes (Tabla 2).  </t>
  </si>
  <si>
    <t>INTRODUCTION</t>
  </si>
  <si>
    <t xml:space="preserve">Justificación </t>
  </si>
  <si>
    <t xml:space="preserve">Describa la justificación de la revisión en el contexto de los conocimientos existentes.  </t>
  </si>
  <si>
    <t xml:space="preserve">Objetivos </t>
  </si>
  <si>
    <t xml:space="preserve">Proporcione una declaración explícita de los objetivos o preguntas que la revisión desea contestar.  </t>
  </si>
  <si>
    <t>METODOS</t>
  </si>
  <si>
    <t xml:space="preserve">Criterios de elegibilidad  </t>
  </si>
  <si>
    <t xml:space="preserve">Especifique los criterios de inclusión y exclusión para la revisión y cómo se agruparon los estudios para la síntesis.  </t>
  </si>
  <si>
    <t xml:space="preserve">Fuentes de información  </t>
  </si>
  <si>
    <t xml:space="preserve">Especifique todas las bases de datos, registros, sitios web, organizaciones, listas de referencia y otras fuentes buscadas o consultadas para identificar estudios. Especifique la fecha en la que se buscó o consultó por última vez cada fuente.   </t>
  </si>
  <si>
    <t xml:space="preserve">Estrategia de búsqueda  </t>
  </si>
  <si>
    <t xml:space="preserve">Presentar las estrategias de búsqueda completas para todas las bases de datos, registros y sitios web, incluidos los filtros y los límites utilizados.   </t>
  </si>
  <si>
    <t xml:space="preserve">Proceso de selección  </t>
  </si>
  <si>
    <t xml:space="preserve">Especifique los métodos utilizados para decidir si un estudio cumplía los criterios para la inclusión de la revisión, incluidos cuántos revisores examinaron cada registro y cada informe recuperado, si trabajaron de forma independiente y, si procede, los detalles de las herramientas de automatización utilizadas en el proceso.   </t>
  </si>
  <si>
    <t xml:space="preserve">Proceso de recopilación de datos  </t>
  </si>
  <si>
    <t xml:space="preserve">Especifique los métodos utilizados para recopilar los datos de los estudios, incluido el número de revisores que recopilaron datos de cada informe, si trabajaron de forma independiente, los procesos para obtener o confirmar datos de los investigadores del estudio y, si procede, los detalles de las herramientas de automatización utilizadas en el proceso.   </t>
  </si>
  <si>
    <t xml:space="preserve">Lista de datos </t>
  </si>
  <si>
    <t>10a</t>
  </si>
  <si>
    <t xml:space="preserve">Enumerar y definir todos los desenlaces (outcomes) para los cuales se buscaron datos. Especifique si se buscaron todos los resultados admitidos por cada desenlace (outcome) en cada estudio (por ejemplo, para todas las medidas, puntos de tiempo, análisis) y, si no, los métodos utilizados para decidir qué resultados recopilar.  </t>
  </si>
  <si>
    <t>10b</t>
  </si>
  <si>
    <t xml:space="preserve">Enumerar y definir todas las demás variables para las cuales se buscaron datos (por ejemplo, características de participante e intervención, fuentes de financiación). Describa cualquier asunción hecha sobre cualquier información que falte o no esté clara.  </t>
  </si>
  <si>
    <t xml:space="preserve">Estudio y valoración del riesgo de sesgo  </t>
  </si>
  <si>
    <t xml:space="preserve">Especifique los métodos utilizados para evaluar el riesgo de sesgo en los estudios incluidos, incluidos los detalles de las herramientas utilizadas, cuántos revisores evaluaron cada estudio y si trabajaron de forma independiente y, si procede, los detalles de las herramientas de automatización utilizadas en el proceso.   </t>
  </si>
  <si>
    <t xml:space="preserve">Medidas de efecto </t>
  </si>
  <si>
    <t xml:space="preserve">Especifique para cada resultado como se midió el efecto (por ejemplo, riesgo relativo, diferencia de medias) utilizadas en la síntesis o presentación de resultados.  </t>
  </si>
  <si>
    <t xml:space="preserve">Métodos de síntesis </t>
  </si>
  <si>
    <t>13a</t>
  </si>
  <si>
    <t xml:space="preserve">Describa los procesos utilizados para decidir qué estudios eran elegibles para cada síntesis. (por ejemplo, tabular las características de la intervención del estudio y comparar con los grupos planificados para cada síntesis (ítem #5)). </t>
  </si>
  <si>
    <t xml:space="preserve">  </t>
  </si>
  <si>
    <t>13b</t>
  </si>
  <si>
    <t xml:space="preserve"> Describir los métodos necesarios para preparar los datos para la presentación o síntesis, como el manejo de las estadísticas de resumen que faltan o las conversiones de datos.  </t>
  </si>
  <si>
    <t xml:space="preserve"> </t>
  </si>
  <si>
    <t>13c</t>
  </si>
  <si>
    <t xml:space="preserve">Describir cualquier método utilizado para tabular o mostrar visualmente los resultados de estudios individuales y síntesis.  </t>
  </si>
  <si>
    <t>13d</t>
  </si>
  <si>
    <t xml:space="preserve"> Describir los métodos utilizados para sintetizar resultados y proporcionar justificación para las opciones. Si se realizó un metanálisis, describa el modelo (s), el método(s) para identificar la presencia y el alcance de la heterogeneidad estadística y paquete(s) de software utilizados.  </t>
  </si>
  <si>
    <t>13e</t>
  </si>
  <si>
    <t xml:space="preserve">Describa los métodos utilizados para explorar las posibles causas de la heterogeneidad entre los resultados del estudio (por ejemplo análisis de subgrupos, meta-regresión) </t>
  </si>
  <si>
    <t>13f</t>
  </si>
  <si>
    <t xml:space="preserve"> Describir los análisis de sensibilidad realizados para evaluar la fortaleza de los resultados sintetizados. </t>
  </si>
  <si>
    <t xml:space="preserve">Informar de la evaluación del sesgo    </t>
  </si>
  <si>
    <t xml:space="preserve">Describa cualquier método utilizado para evaluar el riesgo de sesgo debido a la falta de resultados en una síntesis (derivada de sesgos de notificación).  </t>
  </si>
  <si>
    <t xml:space="preserve">Evaluación de la certeza   </t>
  </si>
  <si>
    <t xml:space="preserve">Describa cualquier método utilizado para evaluar la certeza (o confianza) en el cuerpo de evidencia para un desenlace.  </t>
  </si>
  <si>
    <t xml:space="preserve">Selección de los estudios  </t>
  </si>
  <si>
    <t>16a</t>
  </si>
  <si>
    <t xml:space="preserve">Describa los resultados del proceso de búsqueda y selección, desde el número de registros identificados en la búsqueda hasta el número de estudios incluidos en la revisión, idealmente utilizando un diagrama de flujo (consulte la figura 1).  </t>
  </si>
  <si>
    <t>16b</t>
  </si>
  <si>
    <t xml:space="preserve">Cite los estudios que parece que cumplieran muchos criterios de inclusión y explique por qué fueron excluidos.  </t>
  </si>
  <si>
    <t xml:space="preserve">Características del estudio  </t>
  </si>
  <si>
    <t xml:space="preserve">Cite cada estudio incluido y muestre sus características.  </t>
  </si>
  <si>
    <t xml:space="preserve">Riesgo de sesgo en los estudios  </t>
  </si>
  <si>
    <t xml:space="preserve">Presente la evaluación del riesgo de sesgo para cada estudio que se incluido en la revisión.  </t>
  </si>
  <si>
    <t xml:space="preserve">Resultados de estudios individuales  </t>
  </si>
  <si>
    <t xml:space="preserve">Para los resultados de cada estudio: a) estadísticas resumidas para cada grupo (cuando proceda) y b) una estimación de efectos y su precisión (por ejemplo, intervalo confianza/intervalo creíble), idealmente utilizando tablas o gráficas estructuradas.  </t>
  </si>
  <si>
    <t xml:space="preserve">Resultados de la síntesis  </t>
  </si>
  <si>
    <t>20a</t>
  </si>
  <si>
    <t xml:space="preserve">Para cada combinación o síntesis, resuma brevemente las características y el riesgo de sesgo entre los estudios.  </t>
  </si>
  <si>
    <t>20b</t>
  </si>
  <si>
    <t xml:space="preserve">Presente los resultados de todas las combinaciones o síntesis estadísticas realizadas. Si se realizó un metanálisis, presente para cada uno un resumen de la estimación y su precisión (por ejemplo. confianza/intervalo creíble) y medidas estadísticas de heterogeneidad. Si compara grupos, describa la dirección del efecto.  </t>
  </si>
  <si>
    <t>20c</t>
  </si>
  <si>
    <t xml:space="preserve">Presente resultados de toda la investigación de posibles causas de heterogeneidad entre los resultados del estudio.   </t>
  </si>
  <si>
    <t>20d</t>
  </si>
  <si>
    <t xml:space="preserve">Presente los resultados de todos los análisis de sensibilidad realizados para evaluar la solidez de los resultados combinados.  </t>
  </si>
  <si>
    <t xml:space="preserve">Reportar sesgos  </t>
  </si>
  <si>
    <t xml:space="preserve"> Evaluaciones de los riesgos de sesgo debido a la falta de resultados (derivados de sesgos de notificación) para cada combinación evaluada.  </t>
  </si>
  <si>
    <t xml:space="preserve">Certeza de la evidencia  </t>
  </si>
  <si>
    <t xml:space="preserve">Proporcione evaluaciones de certeza (o confianza) en la evidencia de cada resultado evaluado.  </t>
  </si>
  <si>
    <t>DISCUSI0N</t>
  </si>
  <si>
    <t xml:space="preserve">Discusión  </t>
  </si>
  <si>
    <t>23a</t>
  </si>
  <si>
    <t xml:space="preserve">Proporcionar una interpretación general de los resultados en el contexto de otras pruebas.  </t>
  </si>
  <si>
    <t>23b</t>
  </si>
  <si>
    <t xml:space="preserve"> Discuta cualquier limitación de la evidencia incluida en el examen</t>
  </si>
  <si>
    <t>23c</t>
  </si>
  <si>
    <t xml:space="preserve">Discutir las limitaciones de los procesos de revisión utilizados.  </t>
  </si>
  <si>
    <t>23d</t>
  </si>
  <si>
    <t xml:space="preserve"> Discutir las implicaciones de los resultados para la práctica, la política y la investigación futura</t>
  </si>
  <si>
    <t>MÁS INFORMACIÓN</t>
  </si>
  <si>
    <t xml:space="preserve">Registro y protocolo  </t>
  </si>
  <si>
    <t>24a</t>
  </si>
  <si>
    <t xml:space="preserve">Proporcione información del registro de la revisión, incluido el nombre del registro y el número de registro, o indique que la revisión no se registró.   </t>
  </si>
  <si>
    <t xml:space="preserve">.   </t>
  </si>
  <si>
    <t>24b</t>
  </si>
  <si>
    <t xml:space="preserve">Indique dónde se puede acceder al protocolo de revisión o indique que no se ha preparado un protocolo.  </t>
  </si>
  <si>
    <t>24c</t>
  </si>
  <si>
    <t xml:space="preserve">Describir y explicar cualquier cambio en la información proporcionada en el registro o protocolo.  </t>
  </si>
  <si>
    <t xml:space="preserve">Apoyo  </t>
  </si>
  <si>
    <t xml:space="preserve">Describa las fuentes de apoyo financiero o no financiero para su revisión, y el papel de los financiadores o patrocinadores en la revisión.  </t>
  </si>
  <si>
    <t xml:space="preserve">Conflicto de intereses competitivos  </t>
  </si>
  <si>
    <t xml:space="preserve">Declarar cualquier conflicto de interés de los autores de las revisiones.  </t>
  </si>
  <si>
    <t xml:space="preserve">Disponibilidad de datos, código y otros materiales  </t>
  </si>
  <si>
    <t xml:space="preserve">Informe cuáles de las siguientes opciones están disponibles públicamente y dónde se pueden encontrar: formularios y plantillas de recopilación de  datos; datos extraídos de los estudios incluidos; datos utilizados para todos los análisis; código analítico; cualquier otro material utilizado en la  revisión.  </t>
  </si>
  <si>
    <t>AAR</t>
  </si>
  <si>
    <t>LLG</t>
  </si>
  <si>
    <t>MTR</t>
  </si>
  <si>
    <t>EGB</t>
  </si>
  <si>
    <t>SMR</t>
  </si>
  <si>
    <t>Titulo</t>
  </si>
  <si>
    <t xml:space="preserve">Identifique el informe como una revisión sistemática </t>
  </si>
  <si>
    <t xml:space="preserve">Información básica   </t>
  </si>
  <si>
    <t xml:space="preserve">Proporcione una declaración explícita de los principales objetivos(s) o pregunta(s) que se plantea la revisión. </t>
  </si>
  <si>
    <t>Métodos</t>
  </si>
  <si>
    <t xml:space="preserve">Criterios de elegibilidad </t>
  </si>
  <si>
    <t xml:space="preserve">Especifique los criterios de inclusión y exclusión de la revisión </t>
  </si>
  <si>
    <t xml:space="preserve">Fuentes de información </t>
  </si>
  <si>
    <t xml:space="preserve">Especifique las fuentes de información (por ejemplo, bases de datos, registros) utilizadas para identificar estudios y la fecha en que se buscó cada una por última vez. </t>
  </si>
  <si>
    <t xml:space="preserve">Riesgo de sesgo </t>
  </si>
  <si>
    <t xml:space="preserve">Especifique los métodos utilizados para evaluar el riesgo de sesgo de los estudios incluidos. </t>
  </si>
  <si>
    <t xml:space="preserve">Síntesis de resultados </t>
  </si>
  <si>
    <t xml:space="preserve">Especifique los métodos utilizados para presentar y sintetizar resultados. </t>
  </si>
  <si>
    <t>Resultados</t>
  </si>
  <si>
    <t xml:space="preserve">Estudios incluidos </t>
  </si>
  <si>
    <t xml:space="preserve">Dar el número total de estudios y participantes incluidos y resumir las características relevantes de los estudios </t>
  </si>
  <si>
    <t>Síntesis de los resultados</t>
  </si>
  <si>
    <t xml:space="preserve">Presentar resultados para los desenlaces (outcomes) principales, indicando preferiblemente el número de estudios incluidos y participantes para cada uno. Si se hizo un metanálisis, informe de la estimación resumida y el intervalo de confianza / creíble. Si se comparan grupos, indique la dirección del efecto (es decir, que grupo es favorecido). </t>
  </si>
  <si>
    <t>Discusión</t>
  </si>
  <si>
    <t xml:space="preserve">Limitaciones de la evidencia </t>
  </si>
  <si>
    <t xml:space="preserve">Proporcione un breve resumen de las limitaciones de las pruebas incluidas en la revisión (por ejemplo, riesgo de sesgo, inconsistencia e imprecisión del estudio). </t>
  </si>
  <si>
    <t xml:space="preserve">Interpretación </t>
  </si>
  <si>
    <t xml:space="preserve">Proporcione una interpretación general de los resultados y de las implicaciones importantes </t>
  </si>
  <si>
    <t>FUENTES DE INFORMACIÓN Y MÉTODOS</t>
  </si>
  <si>
    <t>Nombre de la base de datos</t>
  </si>
  <si>
    <t>Nombra cada base de datos individual buscada, indicando la plataforma de cada una.</t>
  </si>
  <si>
    <t>Búsqueda multibase de datos</t>
  </si>
  <si>
    <t>Si se buscaron bases de datos simultáneamente en una sola plataforma, se indica el nombre de la plataforma, listando todas las bases de datos buscadas.</t>
  </si>
  <si>
    <t>Registros de estudios</t>
  </si>
  <si>
    <t>Enumera cualquier registro de estudios que hayas buscado.</t>
  </si>
  <si>
    <t>Recursos online y navegación</t>
  </si>
  <si>
    <t>Describe cualquier fuente en línea o impresa que se haya buscado o navegado intencionadamente (por ejemplo, índice, actas impresas de conferencias, sitios web) y cómo se hizo esto.</t>
  </si>
  <si>
    <t>Búsqueda de citas</t>
  </si>
  <si>
    <t>Indica si se han examinado referencias citadas o referencias citantes, y describe cualquier método utilizado para localizar referencias citadas/citantes (por ejemplo, navegar por listas de referencias, usar un índice de citas, configurar alertas por correo electrónico para referencias que citen estudios incluidos).</t>
  </si>
  <si>
    <t>Contactos</t>
  </si>
  <si>
    <t>Indica si se solicitaron estudios o datos adicionales contactando a autores, expertos, fabricantes u otros.</t>
  </si>
  <si>
    <t>Otros métodos</t>
  </si>
  <si>
    <t>Describe cualquier fuente adicional de información o método de búsqueda utilizado.</t>
  </si>
  <si>
    <t>ESTRATEGIAS DE BÚSQUEDA</t>
  </si>
  <si>
    <t>Estrategias de búsqueda completas</t>
  </si>
  <si>
    <t>Incluye las estrategias de búsqueda para cada base de datos y fuente de información, copiadas y pegadas exactamente tal como se ejecuta.</t>
  </si>
  <si>
    <t>Límites y restricciones</t>
  </si>
  <si>
    <t>Especificar que no se han utilizado límites, o describir cualquier límite o restricción aplicado a una búsqueda (por ejemplo, fecha o periodo de tiempo, idioma, diseño de estudio) y proporcionar justificación para su uso.</t>
  </si>
  <si>
    <t>Filtros de búsqueda</t>
  </si>
  <si>
    <t>Indica si se usaron filtros de búsqueda publicados (tal como fueron diseñados originalmente o modificados) y, en caso afirmativo, cita el/los filtro o filtros utilizados.</t>
  </si>
  <si>
    <t>Trabajos previos</t>
  </si>
  <si>
    <t>Indicar cuándo se han adaptado o reutilizado estrategias de búsqueda de otras revisiones bibliográficas para una parte sustantiva o para toda la búsqueda, citando la(s) revisión(es) previa(s).</t>
  </si>
  <si>
    <t>Actualizaciones</t>
  </si>
  <si>
    <t>Informa de los métodos utilizados para actualizar la(s) búsqueda(s) (por ejemplo, volver a ejecutar búsquedas, alertas por correo electrónico).</t>
  </si>
  <si>
    <t>Fechas de las búsquedas</t>
  </si>
  <si>
    <t>Para cada estrategia de búsqueda, proporciona la fecha en que se realizó la última búsqueda.</t>
  </si>
  <si>
    <t>REVISIÓN POR PARES</t>
  </si>
  <si>
    <t>Revisión por pares</t>
  </si>
  <si>
    <t>Describe cualquier proceso de revisión por pares de búsqueda.</t>
  </si>
  <si>
    <t>DISCOS DE GESTIÓN</t>
  </si>
  <si>
    <t>Récords totales</t>
  </si>
  <si>
    <t>Documenta el número total de registros identificados en cada base de datos y otras fuentes de información.</t>
  </si>
  <si>
    <t>Deduplicación</t>
  </si>
  <si>
    <t>Describe los procesos y cualquier software utilizado para deduplicar registros de múltiples búsquedas en bases de datos y otras fuentes de información.</t>
  </si>
  <si>
    <t>Traducción de la pregunta de investigación</t>
  </si>
  <si>
    <t>¿La estrategia de búsqueda coincide con la pregunta de investigación/PICO?</t>
  </si>
  <si>
    <t>¿Son claros los conceptos de búsqueda?</t>
  </si>
  <si>
    <t>¿Hay demasiados o muy pocos elementos PICO incluidos?</t>
  </si>
  <si>
    <t>¿Son los conceptos de búsqueda demasiado limitados o demasiado amplios?</t>
  </si>
  <si>
    <t>¿La búsqueda recupera demasiados o muy pocos registros? (Por favor, muestra el número de visitas por línea.)</t>
  </si>
  <si>
    <t>¿Se explican las estrategias no convencionales o complejas?</t>
  </si>
  <si>
    <t>Operadores booleanos y de proximidad (estos varían según el servicio de búsqueda)</t>
  </si>
  <si>
    <t>¿Se usan correctamente los operadores booleanos o de proximidad?</t>
  </si>
  <si>
    <t>¿Es apropiado y efectivo el uso del anidamiento con corchetes para la búsqueda?</t>
  </si>
  <si>
    <t>Si se usa NO (NO se usa), ¿es probable que esto resulte en alguna exclusión no deseada?</t>
  </si>
  <si>
    <t>¿Se podría mejorar la precisión usando operadores de proximidad (por ejemplo, adyacente, cerca, dentro) o búsqueda por frases en lugar de AND?</t>
  </si>
  <si>
    <t>¿Es adecuada la anchura de los operadores de proximidad (por ejemplo, ¿podría adj5 captar más variantes que adj2)?</t>
  </si>
  <si>
    <t>Encabezados de materia (específicos de la base de datos)</t>
  </si>
  <si>
    <t>¿Son relevantes los encabezados de los temas?</t>
  </si>
  <si>
    <t>¿Faltan encabezados relevantes de materias? Por ejemplo, ¿términos de índice anteriores?</t>
  </si>
  <si>
    <t>¿Hay algún encabezado de materia demasiado amplio o demasiado limitado?</t>
  </si>
  <si>
    <t>¿Se explotan los encabezados de los temas cuando es necesario y viceversa?</t>
  </si>
  <si>
    <t>¿Se usan los títulos principales ("protagonizados" o restringidos al foco)? Si es así, ¿hay justificación adecuada?</t>
  </si>
  <si>
    <t>¿Faltan subtítulos?</t>
  </si>
  <si>
    <t>¿Se adjuntan subtítulos a los encabezados de materia? (Puede ser preferible subtítulo flotante.)</t>
  </si>
  <si>
    <t>¿Son relevantes y se usan adecuadamente los subtítulos flotantes?</t>
  </si>
  <si>
    <t>¿Se utilizan tanto los encabezados de materia como los términos en texto libre (véase lo siguiente) para cada concepto?</t>
  </si>
  <si>
    <t>Búsqueda de palabras en texto (texto libre)</t>
  </si>
  <si>
    <t>¿La búsqueda incluye todas las variantes ortográficas en texto libre (por ejemplo, ortografía del Reino Unido vs. EE. UU.)?</t>
  </si>
  <si>
    <t>¿La búsqueda incluye todos los sinónimos o antónimos (por ejemplo, opuestos)?</t>
  </si>
  <si>
    <t>¿La búsqueda captura la truncación relevante (es decir, si la truncación está en el lugar correcto)?</t>
  </si>
  <si>
    <t>¿La truncación es demasiado amplia o demasiado estrecha?</t>
  </si>
  <si>
    <t>¿Se usan adecuadamente los acrónimos o abreviaturas? ¿Capturan material irrelevante? ¿También se incluyen los términos completos?</t>
  </si>
  <si>
    <t>¿Las palabras clave son lo suficientemente específicas o demasiado amplias? ¿Se usan demasiadas o muy pocas palabras clave? ¿Se usan palabras de parada?</t>
  </si>
  <si>
    <t>¿Se han buscado en los campos correspondientes? Por ejemplo, ¿es apropiada la elección de los campos de palabra de texto (.tw.) o de todos los campos (.af)? ¿Hay otros campos que se puedan incluir o excluir (específicos de la base de datos)?</t>
  </si>
  <si>
    <t>¿Deberían dividirse las cadenas largas en varias sentencias de búsqueda más cortas?</t>
  </si>
  <si>
    <t>Ortografía, sintaxis y números de línea</t>
  </si>
  <si>
    <t>¿Hay algún error ortográfico?</t>
  </si>
  <si>
    <t>¿Hay errores en la sintaxis del sistema? Por ejemplo, ¿el uso de un símbolo de truncamiento desde una interfaz de búsqueda diferente?</t>
  </si>
  <si>
    <t>¿Existen combinaciones incorrectas de líneas o líneas huérfanas (es decir, líneas que no se mencionan en la suma final que podrían indicar un error en una instrucción AND o OR)?</t>
  </si>
  <si>
    <t>Límites y filtros</t>
  </si>
  <si>
    <t>¿Se usan todos los límites y filtros de forma adecuada y son relevantes dada la pregunta de investigación?</t>
  </si>
  <si>
    <t>¿Se usan todos los límites y filtros correctamente y son relevantes para la base de datos?</t>
  </si>
  <si>
    <t>¿Faltan límites o filtros potencialmente útiles? ¿Los límites o filtros son demasiado amplios o demasiado estrechos? ¿Se pueden añadir o eliminar límites o filtros?</t>
  </si>
  <si>
    <t>¿Se citan las fuentes para los filtros que se usan?</t>
  </si>
  <si>
    <t>Explicar la justificación en el contexto del conocimiento actual definir los objetivos según PICOS: población, intervención, comparador, desenlace y diseño.</t>
  </si>
  <si>
    <t>protocol 2.0</t>
  </si>
  <si>
    <t>Fase</t>
  </si>
  <si>
    <t>Actividades</t>
  </si>
  <si>
    <t>Duración estimada</t>
  </si>
  <si>
    <t>1. Planeación</t>
  </si>
  <si>
    <t>Definir pregunta de investigación, objetivos, criterios de inclusión/exclusión y equipo de trabajo.</t>
  </si>
  <si>
    <t>Semanas 1–2</t>
  </si>
  <si>
    <t>2. Protocolo</t>
  </si>
  <si>
    <t>Redactar el protocolo y registrar la revisión si aplica.</t>
  </si>
  <si>
    <t>Semanas 3–4</t>
  </si>
  <si>
    <t>3. Estrategia de búsqueda</t>
  </si>
  <si>
    <t>Diseñar ecuaciones de búsqueda, seleccionar bases de datos y probar la estrategia.</t>
  </si>
  <si>
    <t>Semanas 5–6</t>
  </si>
  <si>
    <t>4. Búsqueda bibliográfica</t>
  </si>
  <si>
    <t>Ejecutar búsquedas en bases de datos y otras fuentes, descargar resultados y eliminar duplicados.</t>
  </si>
  <si>
    <t>Semanas 7–8</t>
  </si>
  <si>
    <t>5. Selección de estudios</t>
  </si>
  <si>
    <t>Revisar títulos/resúmenes y luego textos completos según criterios de elegibilidad.</t>
  </si>
  <si>
    <t>Semanas 9–12</t>
  </si>
  <si>
    <t>6. Extracción de datos</t>
  </si>
  <si>
    <t>Diseñar formulario, extraer datos y verificar consistencia entre revisores.</t>
  </si>
  <si>
    <t>Semanas 13–16</t>
  </si>
  <si>
    <t>7. Evaluación de calidad</t>
  </si>
  <si>
    <t>Valorar riesgo de sesgo o calidad metodológica de los estudios incluidos.</t>
  </si>
  <si>
    <t>Semanas 15–17</t>
  </si>
  <si>
    <t>8. Síntesis</t>
  </si>
  <si>
    <t>Realizar síntesis narrativa o meta-análisis, según corresponda.</t>
  </si>
  <si>
    <t>Semanas 18–20</t>
  </si>
  <si>
    <t>9. Redacción</t>
  </si>
  <si>
    <t>Escribir resultados, discusión, conclusiones y preparar figuras/tablas.</t>
  </si>
  <si>
    <t>Semanas 21–24</t>
  </si>
  <si>
    <t>10. Revisión final</t>
  </si>
  <si>
    <t>Correcciones de coautores, ajuste al formato de revista y envío.</t>
  </si>
  <si>
    <t>Semanas 25–26</t>
  </si>
  <si>
    <t xml:space="preserve">protocol 2.0 </t>
  </si>
  <si>
    <t>ESTADO</t>
  </si>
  <si>
    <t>NO EMPEZADO</t>
  </si>
  <si>
    <t>EN PROCESO</t>
  </si>
  <si>
    <t>FINALIZADO</t>
  </si>
  <si>
    <t>NOTAS ADICIONALES</t>
  </si>
  <si>
    <t>FASE</t>
  </si>
  <si>
    <t>FASES</t>
  </si>
  <si>
    <t>PRESS</t>
  </si>
  <si>
    <t>INFORMACIÓN ADMINISTRATIVA</t>
  </si>
  <si>
    <t>Título</t>
  </si>
  <si>
    <t>Identificación</t>
  </si>
  <si>
    <t>1a</t>
  </si>
  <si>
    <t>Identificar el informe como un protocolo de una revisión sistemática</t>
  </si>
  <si>
    <t>Actualización</t>
  </si>
  <si>
    <t>1b</t>
  </si>
  <si>
    <t>Si el protocolo es para una actualización de una revisión sistemática previa, identifícate como tal</t>
  </si>
  <si>
    <t>Registro</t>
  </si>
  <si>
    <t>Si está registrado, proporciona el nombre del registro (por ejemplo, PROSPERO) y el número de registro</t>
  </si>
  <si>
    <t>Autores</t>
  </si>
  <si>
    <t>Contacto</t>
  </si>
  <si>
    <t>3a</t>
  </si>
  <si>
    <t>Proporcionar el nombre, afiliación institucional y dirección de correo electrónico de todos los autores del protocolo; proporcionar la dirección física del autor correspondiente</t>
  </si>
  <si>
    <t>Contribuciones</t>
  </si>
  <si>
    <t>3b</t>
  </si>
  <si>
    <t>Describe las contribuciones de los autores del protocolo e identifica al garante de la revisión</t>
  </si>
  <si>
    <t>Enmiendas</t>
  </si>
  <si>
    <t>Si el protocolo representa una enmienda de un protocolo previamente completado o publicado, identifícese como tal y enumere los cambios; de lo contrario, el plan estatal para documentar enmiendas importantes al protocolo</t>
  </si>
  <si>
    <t>Apoyo</t>
  </si>
  <si>
    <t>Fuentes</t>
  </si>
  <si>
    <t>5A</t>
  </si>
  <si>
    <t>Indica las fuentes de apoyo financiero u otro tipo para la revisión</t>
  </si>
  <si>
    <t>Patrocinador</t>
  </si>
  <si>
    <t>5b</t>
  </si>
  <si>
    <t>Proporciona el nombre del financiador de la revisión y/o patrocinador</t>
  </si>
  <si>
    <t>Papel del patrocinador/financiador</t>
  </si>
  <si>
    <t>5c</t>
  </si>
  <si>
    <t>Justificación</t>
  </si>
  <si>
    <t>Describe la razón de la revisión en el contexto de lo que ya se sabe</t>
  </si>
  <si>
    <t>Objetivos</t>
  </si>
  <si>
    <t>Proporciona una declaración explícita de la(s) pregunta(s) que abordará la revisión con referencia a los participantes, intervenciones, comparadores y resultados (PICO)</t>
  </si>
  <si>
    <t>Criterios de elegibilidad</t>
  </si>
  <si>
    <t>Especificar las características del estudio (por ejemplo, PICO, diseño del estudio, entorno, plazo) y las características del informe (por ejemplo, años considerados, idioma, estado de publicación) que se usarán como criterios para la elegibilidad para la revisión</t>
  </si>
  <si>
    <t>Fuentes de información</t>
  </si>
  <si>
    <t>Describe todas las fuentes de información previstas (por ejemplo, bases de datos electrónicas, contacto con autores de estudios, registros de ensayos u otras fuentes de literatura gris) con fechas previstas de cobertura</t>
  </si>
  <si>
    <t>Estrategia de búsqueda</t>
  </si>
  <si>
    <t>Presente borrador de estrategia de búsqueda para usarse en al menos una base de datos electrónica, incluyendo límites previstos, de modo que pueda repetirse</t>
  </si>
  <si>
    <t>Gestión de datos</t>
  </si>
  <si>
    <t>11A</t>
  </si>
  <si>
    <t>Describe el(los) mecanismo(s) que se utilizarán para gestionar registros y datos a lo largo de la revisión</t>
  </si>
  <si>
    <t>Proceso de selección</t>
  </si>
  <si>
    <t>11b</t>
  </si>
  <si>
    <t>Indique el proceso que se utilizará para seleccionar los estudios (por ejemplo, dos revisores independientes) en cada fase de la revisión (es decir, cribado, elegibilidad e inclusión en metaanálisis)</t>
  </si>
  <si>
    <t>Proceso de recopilación de datos</t>
  </si>
  <si>
    <t>11c</t>
  </si>
  <si>
    <t>Describe el método planificado para extraer datos de informes (por ejemplo, formularios piloto, realizados de forma independiente o en duplicado), cualquier proceso para obtener y confirmar datos de los investigadores</t>
  </si>
  <si>
    <t>Elementos de datos</t>
  </si>
  <si>
    <t>Enumera y define todas las variables para las que se buscarán datos (por ejemplo, elementos PICO, fuentes de financiación), cualquier supuesto de datos preplanificado y simplificaciones</t>
  </si>
  <si>
    <t>Resultados y priorización</t>
  </si>
  <si>
    <t>Enumera y define todos los resultados para los que se buscarán datos, incluyendo la priorización de los principales y adicionales resultados, con la justificación</t>
  </si>
  <si>
    <t>Riesgo de sesgo en estudios individuales</t>
  </si>
  <si>
    <t>Describe los métodos previstos para evaluar el riesgo de sesgo de estudios individuales, incluyendo si esto se realizará a nivel de resultado o estudio, o ambos; Indique cómo se utilizará esta información en la síntesis de datos</t>
  </si>
  <si>
    <t>Datos</t>
  </si>
  <si>
    <t>Síntesis</t>
  </si>
  <si>
    <t>15A</t>
  </si>
  <si>
    <t>Describe criterios bajo los cuales los datos del estudio se sintetizarán cuantitativamente</t>
  </si>
  <si>
    <t>15b</t>
  </si>
  <si>
    <r>
      <t>Si los datos son apropiados para la síntesis cuantitativa, describe las medidas resumidas planificadas, los métodos de manejo de datos y los métodos para combinar datos de estudios, incluyendo cualquier exploración planificada de consistencia (por ejemplo, </t>
    </r>
    <r>
      <rPr>
        <i/>
        <sz val="11"/>
        <color theme="1"/>
        <rFont val="Cambria"/>
        <family val="1"/>
      </rPr>
      <t>I</t>
    </r>
    <r>
      <rPr>
        <sz val="11"/>
        <color theme="1"/>
        <rFont val="Cambria"/>
        <family val="1"/>
      </rPr>
      <t> </t>
    </r>
    <r>
      <rPr>
        <vertAlign val="superscript"/>
        <sz val="10"/>
        <color theme="1"/>
        <rFont val="Revert"/>
      </rPr>
      <t>2</t>
    </r>
    <r>
      <rPr>
        <sz val="11"/>
        <color theme="1"/>
        <rFont val="Cambria"/>
        <family val="1"/>
      </rPr>
      <t>, tau de Kendall)</t>
    </r>
  </si>
  <si>
    <t>15c</t>
  </si>
  <si>
    <t>Describe cualquier análisis adicional propuesto (por ejemplo, análisis de sensibilidad o subgrupos, meta-regresión)</t>
  </si>
  <si>
    <t>15d</t>
  </si>
  <si>
    <t>Si la síntesis cuantitativa no es adecuada, describe el tipo de resumen previsto</t>
  </si>
  <si>
    <t>Meta-sesgo(s)</t>
  </si>
  <si>
    <t>Especificar cualquier evaluación planificada de metasesgos(es) (por ejemplo, sesgo de publicación entre estudios, reporte selectivo dentro de los estudios)</t>
  </si>
  <si>
    <t>Confianza en la evidencia acumulativa</t>
  </si>
  <si>
    <t>Describe cómo se evaluará la solidez del cuerpo de pruebas (por ejemplo, GRADE)</t>
  </si>
  <si>
    <t>.Tabla 2.- PRISMA 2020 Lista de verificación</t>
  </si>
  <si>
    <t>.Tabla 2.1.- Lista de verificación PRISMA 2020 para resúmenes*</t>
  </si>
  <si>
    <t>.Tabla 1 Lista de verificación de PRISMA-S. Una versión descargable de la lista de comprobación está disponible en la web de PRISMA</t>
  </si>
  <si>
    <t>.Tabla3. Lista de verificación basada en la evidencia de la Guía PRESS 2015</t>
  </si>
  <si>
    <t>.Tabla 4 Lista de verificación PRISMA-P 2015: elementos recomendados para incluir en un protocolo de revisión sistemática</t>
  </si>
  <si>
    <t>Realizar síntesis narrativa Y meta-análisis, según corresponda.</t>
  </si>
  <si>
    <t>ACTIVIDADES PARA REVISAR CON CHECKLIST</t>
  </si>
  <si>
    <t>FECHA TENTATIVA DE REVISION</t>
  </si>
  <si>
    <t>TERMINADO</t>
  </si>
  <si>
    <t>PROGRESO</t>
  </si>
  <si>
    <t>Columna1</t>
  </si>
  <si>
    <t>ASPECTO A REVISAR</t>
  </si>
  <si>
    <t>OK</t>
  </si>
  <si>
    <t>STATUS</t>
  </si>
  <si>
    <t>Etiquetas de fila</t>
  </si>
  <si>
    <t>(en blanco)</t>
  </si>
  <si>
    <t>Total general</t>
  </si>
  <si>
    <t>Cuenta de STATUS</t>
  </si>
  <si>
    <t>Etiquetas de columna</t>
  </si>
  <si>
    <t>NA</t>
  </si>
  <si>
    <t>X</t>
  </si>
  <si>
    <t>1 Planeación</t>
  </si>
  <si>
    <t>2 Protocolo</t>
  </si>
  <si>
    <t>3 Estrategia de búsqueda</t>
  </si>
  <si>
    <t>4 Búsqueda bibliográfica</t>
  </si>
  <si>
    <t>5 Selección de estudios</t>
  </si>
  <si>
    <t>6 Extracción de datos</t>
  </si>
  <si>
    <t>7 Evaluación de calidad</t>
  </si>
  <si>
    <t>8 Síntesis</t>
  </si>
  <si>
    <t>9 Redacción</t>
  </si>
  <si>
    <t>10 Revisión final</t>
  </si>
  <si>
    <t xml:space="preserve">total </t>
  </si>
  <si>
    <t>items hechas</t>
  </si>
  <si>
    <t>items sin hacer</t>
  </si>
  <si>
    <t>TENTATIVO EN EL PROTOCCOLO</t>
  </si>
  <si>
    <t>NOTAS</t>
  </si>
  <si>
    <t>NO</t>
  </si>
  <si>
    <t>PROSPERO,GITUB,ZOENODO</t>
  </si>
  <si>
    <t>PENDIENTE ORCID DE ASESORES</t>
  </si>
  <si>
    <t>UNAM BIDI</t>
  </si>
  <si>
    <t>BASES DE DATOS EN PROTOVOLO</t>
  </si>
  <si>
    <t>registradp</t>
  </si>
  <si>
    <t>ACTUALIZAR JUSTI</t>
  </si>
  <si>
    <t>BIBLIOMETRIX</t>
  </si>
  <si>
    <t>REVISTAS Y PREPRINTS</t>
  </si>
  <si>
    <t>CITAR RECURSOS</t>
  </si>
  <si>
    <t>COMPARAR EL QUE ESTA CON EL QUE HICE…</t>
  </si>
  <si>
    <t>BUSCAR A MAX JONES</t>
  </si>
  <si>
    <t>NA?</t>
  </si>
  <si>
    <t>ESTABLECER EN FECHAS</t>
  </si>
  <si>
    <t>REALIZARLAS</t>
  </si>
  <si>
    <t>SE HICIERON DOS BUSQUEDAS CON RESULTADOS SIMILARES</t>
  </si>
  <si>
    <t>REALIZAR DIAGRAMA PRISMA</t>
  </si>
  <si>
    <t>USAR EXCEL O ZOTERO</t>
  </si>
  <si>
    <t>DOS RAMAS</t>
  </si>
  <si>
    <t>SI SE USA PARA ELIMINAR TERMINOS QUE NO DEBEN INCLUIRSE EN TITULO</t>
  </si>
  <si>
    <t xml:space="preserve">SI </t>
  </si>
  <si>
    <t>NAA</t>
  </si>
  <si>
    <t>CREO EN OVID</t>
  </si>
  <si>
    <t>NEL</t>
  </si>
  <si>
    <t>REVISAR</t>
  </si>
  <si>
    <t xml:space="preserve">SE REALIZA ANEXO </t>
  </si>
  <si>
    <t>FUENTES DE FILTROS?</t>
  </si>
  <si>
    <t>CHECAR</t>
  </si>
  <si>
    <t>PROTOCOLO COORDINACION</t>
  </si>
  <si>
    <t>PROTOCOLO EN PROSPERO</t>
  </si>
  <si>
    <t>ANEXO ESTRATEGIAS</t>
  </si>
  <si>
    <t>EVIDENCIA</t>
  </si>
  <si>
    <t>CONTENIDO</t>
  </si>
  <si>
    <t>C:\Users\estef\OneDrive\PROTOCOL 2.0.pdf</t>
  </si>
  <si>
    <t>MÉTODOS AVANCE</t>
  </si>
  <si>
    <t>INTRODUCCIÓN AVANCE</t>
  </si>
  <si>
    <t>METODOLOGIA</t>
  </si>
  <si>
    <t>ARCHIVOS</t>
  </si>
  <si>
    <t>EXCEL ACTUAL… PERO FALTA BIBLIOMETRICO</t>
  </si>
  <si>
    <t>DIAGRAMA DE FLUJO PRISMA 2020</t>
  </si>
  <si>
    <t>PROTOCOLO FIRMADO</t>
  </si>
  <si>
    <t>.</t>
  </si>
  <si>
    <t>Describe roles of funder(s), sponsor(s), and/or institution(s), if any, in developing the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</si>
</sst>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0"/>
      <color rgb="FF000000"/>
      <name val="Arial"/>
      <family val="2"/>
    </font>
    <font>
      <sz val="10"/>
      <color rgb="FF000000"/>
      <name val="Arial"/>
      <family val="2"/>
    </font>
    <font>
      <sz val="11"/>
      <color rgb="FF000000"/>
      <name val="Aptos Narrow"/>
      <family val="2"/>
    </font>
    <font>
      <b/>
      <sz val="11"/>
      <color rgb="FF000000"/>
      <name val="Aptos Narrow"/>
      <family val="2"/>
    </font>
    <font>
      <b/>
      <sz val="11"/>
      <color theme="1"/>
      <name val="Arial"/>
      <family val="2"/>
    </font>
    <font>
      <sz val="11"/>
      <color theme="1"/>
      <name val="Arial"/>
      <family val="2"/>
    </font>
    <font>
      <b/>
      <sz val="10"/>
      <color rgb="FF000000"/>
      <name val="Aptos Black"/>
      <family val="2"/>
    </font>
    <font>
      <b/>
      <sz val="11"/>
      <color rgb="FF000000"/>
      <name val="Aptos Black"/>
      <family val="2"/>
    </font>
    <font>
      <b/>
      <sz val="11"/>
      <color theme="1"/>
      <name val="Aptos Black"/>
      <family val="2"/>
    </font>
    <font>
      <b/>
      <sz val="11"/>
      <color theme="1"/>
      <name val="Cambria"/>
      <family val="1"/>
    </font>
    <font>
      <sz val="11"/>
      <color theme="1"/>
      <name val="Cambria"/>
      <family val="1"/>
    </font>
    <font>
      <i/>
      <sz val="11"/>
      <color theme="1"/>
      <name val="Cambria"/>
      <family val="1"/>
    </font>
    <font>
      <vertAlign val="superscript"/>
      <sz val="10"/>
      <color theme="1"/>
      <name val="Revert"/>
    </font>
    <font>
      <u/>
      <sz val="11"/>
      <color theme="10"/>
      <name val="Aptos Narrow"/>
      <family val="2"/>
      <scheme val="minor"/>
    </font>
    <font>
      <b/>
      <i/>
      <sz val="13"/>
      <color rgb="FF1B1B1B"/>
      <name val="Cambria"/>
      <family val="1"/>
    </font>
    <font>
      <b/>
      <sz val="18"/>
      <color theme="1"/>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1" tint="0.49998474074526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
      <left/>
      <right/>
      <top/>
      <bottom style="medium">
        <color rgb="FF33333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2" fillId="0" borderId="0" applyNumberFormat="0" applyFill="0" applyBorder="0" applyAlignment="0" applyProtection="0"/>
  </cellStyleXfs>
  <cellXfs count="65">
    <xf numFmtId="0" fontId="0" fillId="0" borderId="0" xfId="0"/>
    <xf numFmtId="14" fontId="0" fillId="0" borderId="0" xfId="0" applyNumberFormat="1"/>
    <xf numFmtId="0" fontId="0" fillId="0" borderId="0" xfId="0" applyAlignment="1">
      <alignment wrapText="1"/>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xf>
    <xf numFmtId="0" fontId="18" fillId="0" borderId="0" xfId="0" applyFont="1" applyAlignment="1">
      <alignment horizontal="center" vertical="center"/>
    </xf>
    <xf numFmtId="0" fontId="23" fillId="33" borderId="10" xfId="0" applyFont="1" applyFill="1" applyBorder="1" applyAlignment="1">
      <alignment horizontal="left" vertical="center" wrapText="1"/>
    </xf>
    <xf numFmtId="0" fontId="24" fillId="0" borderId="10" xfId="0" applyFont="1" applyBorder="1" applyAlignment="1">
      <alignment horizontal="left" vertical="center" wrapText="1"/>
    </xf>
    <xf numFmtId="0" fontId="23" fillId="33" borderId="10" xfId="0" applyFont="1" applyFill="1" applyBorder="1" applyAlignment="1">
      <alignment horizontal="left" vertical="center"/>
    </xf>
    <xf numFmtId="0" fontId="24" fillId="0" borderId="10" xfId="0" applyFont="1" applyBorder="1" applyAlignment="1">
      <alignment horizontal="left" vertical="center"/>
    </xf>
    <xf numFmtId="0" fontId="16" fillId="0" borderId="0" xfId="0" applyFont="1" applyAlignment="1">
      <alignment horizontal="center"/>
    </xf>
    <xf numFmtId="0" fontId="16" fillId="0" borderId="0" xfId="0" applyFont="1" applyAlignment="1">
      <alignment horizontal="center" wrapText="1"/>
    </xf>
    <xf numFmtId="0" fontId="24" fillId="0" borderId="0" xfId="0" applyFont="1" applyAlignment="1">
      <alignment horizontal="left" vertical="center" wrapText="1"/>
    </xf>
    <xf numFmtId="14" fontId="0" fillId="0" borderId="0" xfId="0" applyNumberFormat="1" applyAlignment="1">
      <alignment horizontal="left"/>
    </xf>
    <xf numFmtId="0" fontId="16" fillId="0" borderId="0" xfId="0" applyFont="1" applyAlignment="1">
      <alignment wrapText="1"/>
    </xf>
    <xf numFmtId="0" fontId="19" fillId="0" borderId="0" xfId="0" applyFont="1" applyAlignment="1">
      <alignment vertical="center" wrapText="1"/>
    </xf>
    <xf numFmtId="0" fontId="19" fillId="0" borderId="0" xfId="0" applyFont="1" applyAlignment="1">
      <alignment horizontal="center" vertical="center"/>
    </xf>
    <xf numFmtId="0" fontId="20" fillId="0" borderId="0" xfId="0" applyFont="1" applyAlignment="1">
      <alignment vertical="center" wrapText="1"/>
    </xf>
    <xf numFmtId="0" fontId="18" fillId="0" borderId="0" xfId="0" applyFont="1" applyAlignment="1">
      <alignment vertical="top" wrapText="1"/>
    </xf>
    <xf numFmtId="0" fontId="21" fillId="0" borderId="0" xfId="0" applyFont="1" applyAlignment="1">
      <alignment vertical="center" wrapText="1"/>
    </xf>
    <xf numFmtId="0" fontId="16" fillId="0" borderId="0" xfId="0" applyFont="1"/>
    <xf numFmtId="0" fontId="19" fillId="34" borderId="0" xfId="0" applyFont="1" applyFill="1" applyAlignment="1">
      <alignment horizontal="center" vertical="center"/>
    </xf>
    <xf numFmtId="0" fontId="19" fillId="35" borderId="0" xfId="0" applyFont="1" applyFill="1" applyAlignment="1">
      <alignment horizontal="center" vertical="center"/>
    </xf>
    <xf numFmtId="0" fontId="22" fillId="37" borderId="0" xfId="0" applyFont="1" applyFill="1" applyAlignment="1">
      <alignment horizontal="center" vertical="center"/>
    </xf>
    <xf numFmtId="0" fontId="0" fillId="38" borderId="0" xfId="0" applyFill="1" applyAlignment="1">
      <alignment horizontal="center"/>
    </xf>
    <xf numFmtId="0" fontId="21" fillId="38" borderId="0" xfId="0" applyFont="1" applyFill="1" applyAlignment="1">
      <alignment vertical="center" wrapText="1"/>
    </xf>
    <xf numFmtId="0" fontId="28" fillId="0" borderId="0" xfId="0" applyFont="1" applyAlignment="1">
      <alignment vertical="top" wrapText="1"/>
    </xf>
    <xf numFmtId="0" fontId="29" fillId="0" borderId="0" xfId="0" applyFont="1" applyAlignment="1">
      <alignment vertical="top" wrapText="1"/>
    </xf>
    <xf numFmtId="0" fontId="28" fillId="0" borderId="11" xfId="0" applyFont="1" applyBorder="1" applyAlignment="1">
      <alignment vertical="top" wrapText="1"/>
    </xf>
    <xf numFmtId="0" fontId="29" fillId="0" borderId="11" xfId="0" applyFont="1" applyBorder="1" applyAlignment="1">
      <alignment vertical="top" wrapText="1"/>
    </xf>
    <xf numFmtId="0" fontId="28" fillId="39" borderId="0" xfId="0" applyFont="1" applyFill="1" applyAlignment="1">
      <alignment vertical="top" wrapText="1"/>
    </xf>
    <xf numFmtId="0" fontId="29" fillId="39" borderId="0" xfId="0" applyFont="1" applyFill="1" applyAlignment="1">
      <alignment vertical="top" wrapText="1"/>
    </xf>
    <xf numFmtId="0" fontId="29" fillId="39" borderId="11" xfId="0" applyFont="1" applyFill="1" applyBorder="1" applyAlignment="1">
      <alignment vertical="top" wrapText="1"/>
    </xf>
    <xf numFmtId="0" fontId="8" fillId="4" borderId="0" xfId="8"/>
    <xf numFmtId="0" fontId="0" fillId="0" borderId="0" xfId="0" pivotButton="1"/>
    <xf numFmtId="0" fontId="0" fillId="0" borderId="0" xfId="0" applyAlignment="1">
      <alignment horizontal="left"/>
    </xf>
    <xf numFmtId="0" fontId="0" fillId="0" borderId="0" xfId="0" applyProtection="1">
      <protection locked="0"/>
    </xf>
    <xf numFmtId="164" fontId="0" fillId="0" borderId="0" xfId="0" applyNumberFormat="1"/>
    <xf numFmtId="0" fontId="16" fillId="36" borderId="0" xfId="0" applyFont="1" applyFill="1" applyAlignment="1">
      <alignment wrapText="1"/>
    </xf>
    <xf numFmtId="0" fontId="0" fillId="0" borderId="0" xfId="0" applyAlignment="1">
      <alignment horizontal="left" wrapText="1"/>
    </xf>
    <xf numFmtId="0" fontId="24" fillId="0" borderId="0" xfId="0" applyFont="1" applyAlignment="1">
      <alignment horizontal="left" vertical="center"/>
    </xf>
    <xf numFmtId="0" fontId="16" fillId="0" borderId="0" xfId="0" applyFont="1" applyAlignment="1">
      <alignment horizontal="left"/>
    </xf>
    <xf numFmtId="0" fontId="18" fillId="0" borderId="0" xfId="0" applyFont="1" applyAlignment="1">
      <alignment horizontal="left" vertical="center"/>
    </xf>
    <xf numFmtId="0" fontId="25" fillId="34" borderId="0" xfId="0" applyFont="1" applyFill="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5" fillId="35" borderId="0" xfId="0" applyFont="1" applyFill="1" applyAlignment="1">
      <alignment horizontal="center" vertical="center" wrapText="1"/>
    </xf>
    <xf numFmtId="0" fontId="26" fillId="37" borderId="0" xfId="0" applyFont="1" applyFill="1" applyAlignment="1">
      <alignment horizontal="center" vertical="center" wrapText="1"/>
    </xf>
    <xf numFmtId="0" fontId="22" fillId="0" borderId="0" xfId="0" applyFont="1" applyAlignment="1">
      <alignment horizontal="center" vertical="center" wrapText="1"/>
    </xf>
    <xf numFmtId="0" fontId="22" fillId="0" borderId="0" xfId="0" applyFont="1" applyAlignment="1">
      <alignment vertical="center" wrapText="1"/>
    </xf>
    <xf numFmtId="0" fontId="27" fillId="38" borderId="0" xfId="0" applyFont="1" applyFill="1" applyAlignment="1">
      <alignment horizontal="center" wrapText="1"/>
    </xf>
    <xf numFmtId="0" fontId="28" fillId="39" borderId="0" xfId="0" applyFont="1" applyFill="1" applyAlignment="1">
      <alignment vertical="top"/>
    </xf>
    <xf numFmtId="164" fontId="0" fillId="0" borderId="0" xfId="0" applyNumberFormat="1" applyAlignment="1">
      <alignment horizontal="center"/>
    </xf>
    <xf numFmtId="10" fontId="16" fillId="0" borderId="0" xfId="0" applyNumberFormat="1" applyFont="1"/>
    <xf numFmtId="0" fontId="29" fillId="39" borderId="0" xfId="0" applyFont="1" applyFill="1" applyAlignment="1">
      <alignment horizontal="center" vertical="top" wrapText="1"/>
    </xf>
    <xf numFmtId="0" fontId="0" fillId="0" borderId="0" xfId="0" applyAlignment="1">
      <alignment horizontal="center" wrapText="1"/>
    </xf>
    <xf numFmtId="0" fontId="0" fillId="40" borderId="0" xfId="0" applyFill="1" applyAlignment="1">
      <alignment horizontal="center"/>
    </xf>
    <xf numFmtId="0" fontId="0" fillId="35" borderId="0" xfId="0" applyFill="1" applyAlignment="1">
      <alignment horizontal="center"/>
    </xf>
    <xf numFmtId="0" fontId="24" fillId="0" borderId="0" xfId="0" applyFont="1" applyAlignment="1">
      <alignment horizontal="center" vertical="center" wrapText="1"/>
    </xf>
    <xf numFmtId="0" fontId="8" fillId="4" borderId="0" xfId="8" applyBorder="1" applyAlignment="1"/>
    <xf numFmtId="0" fontId="33" fillId="0" borderId="0" xfId="0" applyFont="1" applyAlignment="1">
      <alignment vertical="center" wrapText="1"/>
    </xf>
    <xf numFmtId="0" fontId="32" fillId="0" borderId="0" xfId="42"/>
    <xf numFmtId="14" fontId="34" fillId="0" borderId="0" xfId="0" applyNumberFormat="1" applyFont="1" applyAlignment="1">
      <alignment wrapText="1"/>
    </xf>
    <xf numFmtId="0" fontId="16" fillId="0" borderId="0" xfId="0" applyFont="1" applyAlignment="1">
      <alignment horizontal="center"/>
    </xf>
    <xf numFmtId="0" fontId="29" fillId="41" borderId="0" xfId="0" applyFont="1" applyFill="1" applyAlignment="1">
      <alignment vertical="top"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4">
    <dxf>
      <font>
        <b/>
        <i val="0"/>
        <color theme="1"/>
      </font>
      <fill>
        <patternFill>
          <bgColor theme="0" tint="-0.24994659260841701"/>
        </patternFill>
      </fill>
    </dxf>
    <dxf>
      <font>
        <b/>
        <i val="0"/>
      </font>
      <fill>
        <patternFill>
          <bgColor theme="9" tint="0.59996337778862885"/>
        </patternFill>
      </fill>
    </dxf>
    <dxf>
      <font>
        <b/>
        <i val="0"/>
        <color rgb="FFFFC000"/>
      </font>
      <fill>
        <patternFill>
          <bgColor rgb="FF7030A0"/>
        </patternFill>
      </fill>
    </dxf>
    <dxf>
      <font>
        <b/>
        <i val="0"/>
        <color theme="1"/>
      </font>
      <fill>
        <patternFill>
          <bgColor theme="0" tint="-0.24994659260841701"/>
        </patternFill>
      </fill>
    </dxf>
    <dxf>
      <font>
        <b/>
        <i val="0"/>
      </font>
      <fill>
        <patternFill>
          <bgColor theme="9" tint="0.59996337778862885"/>
        </patternFill>
      </fill>
    </dxf>
    <dxf>
      <font>
        <b/>
        <i val="0"/>
        <color rgb="FFFFC000"/>
      </font>
      <fill>
        <patternFill>
          <bgColor rgb="FF7030A0"/>
        </patternFill>
      </fill>
    </dxf>
    <dxf>
      <font>
        <color rgb="FF9C0006"/>
      </font>
      <fill>
        <patternFill>
          <bgColor rgb="FFFFC7CE"/>
        </patternFill>
      </fill>
    </dxf>
    <dxf>
      <numFmt numFmtId="0" formatCode="General"/>
    </dxf>
    <dxf>
      <numFmt numFmtId="0" formatCode="General"/>
    </dxf>
    <dxf>
      <font>
        <b val="0"/>
        <i val="0"/>
        <strike val="0"/>
        <condense val="0"/>
        <extend val="0"/>
        <outline val="0"/>
        <shadow val="0"/>
        <u val="none"/>
        <vertAlign val="baseline"/>
        <sz val="11"/>
        <color theme="1"/>
        <name val="Arial"/>
        <family val="2"/>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0" formatCode="General"/>
      <alignment horizontal="left" vertical="center"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efania Aranda Rosas" refreshedDate="46269.852720023147" createdVersion="8" refreshedVersion="8" minRefreshableVersion="3" recordCount="154" xr:uid="{60FB3188-6981-4A09-95E6-C3397F2DC995}">
  <cacheSource type="worksheet">
    <worksheetSource ref="A1:J155" sheet="Checklist"/>
  </cacheSource>
  <cacheFields count="10">
    <cacheField name="FASE" numFmtId="0">
      <sharedItems containsBlank="1" count="21">
        <m/>
        <s v="2 Protocolo"/>
        <s v="9 Redacción"/>
        <s v="3 Estrategia de búsqueda"/>
        <s v="4 Búsqueda bibliográfica"/>
        <s v="5 Selección de estudios"/>
        <s v="6 Extracción de datos"/>
        <s v="8 Síntesis"/>
        <s v="7 Evaluación de calidad"/>
        <s v="10 Revisión final"/>
        <s v="1 Planeación"/>
        <s v="2. Protocolo" u="1"/>
        <s v="9. Redacción" u="1"/>
        <s v="3. Estrategia de búsqueda" u="1"/>
        <s v="4. Búsqueda bibliográfica" u="1"/>
        <s v="5. Selección de estudios" u="1"/>
        <s v="6. Extracción de datos" u="1"/>
        <s v="8. Síntesis" u="1"/>
        <s v="7. Evaluación de calidad" u="1"/>
        <s v="10. Revisión final" u="1"/>
        <s v="1. Planeación" u="1"/>
      </sharedItems>
    </cacheField>
    <cacheField name="Sección/tema " numFmtId="0">
      <sharedItems containsBlank="1"/>
    </cacheField>
    <cacheField name="ítem #" numFmtId="0">
      <sharedItems containsBlank="1" containsMixedTypes="1" containsNumber="1" containsInteger="1" minValue="1" maxValue="27"/>
    </cacheField>
    <cacheField name="ASPECTO A REVISAR" numFmtId="0">
      <sharedItems containsBlank="1" longText="1"/>
    </cacheField>
    <cacheField name="AAR" numFmtId="0">
      <sharedItems containsBlank="1"/>
    </cacheField>
    <cacheField name="LLG" numFmtId="0">
      <sharedItems containsBlank="1"/>
    </cacheField>
    <cacheField name="MTR" numFmtId="0">
      <sharedItems containsBlank="1"/>
    </cacheField>
    <cacheField name="EGB" numFmtId="0">
      <sharedItems containsBlank="1" count="2">
        <m/>
        <b v="0"/>
      </sharedItems>
    </cacheField>
    <cacheField name="SMR" numFmtId="0">
      <sharedItems containsBlank="1"/>
    </cacheField>
    <cacheField name="STATUS" numFmtId="0">
      <sharedItems containsMixedTypes="1" containsNumber="1" containsInteger="1" minValue="0" maxValue="5" count="7">
        <s v="X"/>
        <n v="0"/>
        <n v="1"/>
        <n v="2" u="1"/>
        <n v="4" u="1"/>
        <n v="5" u="1"/>
        <n v="3"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m/>
    <s v="TITLE"/>
    <s v=".Tabla 2.- PRISMA 2020 Lista de verificación"/>
    <m/>
    <m/>
    <m/>
    <x v="0"/>
    <m/>
    <x v="0"/>
  </r>
  <r>
    <x v="1"/>
    <s v="Titulo "/>
    <n v="1"/>
    <s v="Identificar la publicación como revisión sistemática, "/>
    <b v="0"/>
    <b v="0"/>
    <b v="0"/>
    <x v="1"/>
    <b v="0"/>
    <x v="1"/>
  </r>
  <r>
    <x v="0"/>
    <m/>
    <s v="RESUMEN"/>
    <m/>
    <m/>
    <m/>
    <m/>
    <x v="0"/>
    <m/>
    <x v="0"/>
  </r>
  <r>
    <x v="2"/>
    <s v="Resumen  "/>
    <n v="2"/>
    <s v="Consulte la lista de comprobación PRISMA 2020 para resúmenes (Tabla 2).  "/>
    <b v="0"/>
    <b v="0"/>
    <b v="0"/>
    <x v="1"/>
    <b v="0"/>
    <x v="1"/>
  </r>
  <r>
    <x v="0"/>
    <m/>
    <s v="INTRODUCTION"/>
    <m/>
    <m/>
    <m/>
    <m/>
    <x v="0"/>
    <m/>
    <x v="0"/>
  </r>
  <r>
    <x v="2"/>
    <s v="Justificación "/>
    <n v="3"/>
    <s v="Describa la justificación de la revisión en el contexto de los conocimientos existentes.  "/>
    <b v="0"/>
    <b v="0"/>
    <b v="0"/>
    <x v="1"/>
    <b v="0"/>
    <x v="1"/>
  </r>
  <r>
    <x v="2"/>
    <s v="Objetivos "/>
    <n v="4"/>
    <s v="Proporcione una declaración explícita de los objetivos o preguntas que la revisión desea contestar.  "/>
    <b v="0"/>
    <b v="0"/>
    <b v="0"/>
    <x v="1"/>
    <b v="0"/>
    <x v="1"/>
  </r>
  <r>
    <x v="0"/>
    <m/>
    <s v="METODOS"/>
    <m/>
    <m/>
    <m/>
    <m/>
    <x v="0"/>
    <m/>
    <x v="0"/>
  </r>
  <r>
    <x v="3"/>
    <s v="Criterios de elegibilidad  "/>
    <n v="5"/>
    <s v="Especifique los criterios de inclusión y exclusión para la revisión y cómo se agruparon los estudios para la síntesis.  "/>
    <b v="0"/>
    <b v="0"/>
    <b v="0"/>
    <x v="1"/>
    <b v="0"/>
    <x v="1"/>
  </r>
  <r>
    <x v="4"/>
    <s v="Fuentes de información  "/>
    <n v="6"/>
    <s v="Especifique todas las bases de datos, registros, sitios web, organizaciones, listas de referencia y otras fuentes buscadas o consultadas para identificar estudios. Especifique la fecha en la que se buscó o consultó por última vez cada fuente.   "/>
    <b v="0"/>
    <b v="0"/>
    <b v="0"/>
    <x v="1"/>
    <b v="0"/>
    <x v="1"/>
  </r>
  <r>
    <x v="3"/>
    <s v="Estrategia de búsqueda  "/>
    <n v="7"/>
    <s v="Presentar las estrategias de búsqueda completas para todas las bases de datos, registros y sitios web, incluidos los filtros y los límites utilizados.   "/>
    <b v="0"/>
    <b v="0"/>
    <b v="0"/>
    <x v="1"/>
    <b v="0"/>
    <x v="1"/>
  </r>
  <r>
    <x v="5"/>
    <s v="Proceso de selección  "/>
    <n v="8"/>
    <s v="Especifique los métodos utilizados para decidir si un estudio cumplía los criterios para la inclusión de la revisión, incluidos cuántos revisores examinaron cada registro y cada informe recuperado, si trabajaron de forma independiente y, si procede, los detalles de las herramientas de automatización utilizadas en el proceso.   "/>
    <b v="0"/>
    <b v="0"/>
    <b v="0"/>
    <x v="1"/>
    <b v="0"/>
    <x v="1"/>
  </r>
  <r>
    <x v="6"/>
    <s v="Proceso de recopilación de datos  "/>
    <n v="9"/>
    <s v="Especifique los métodos utilizados para recopilar los datos de los estudios, incluido el número de revisores que recopilaron datos de cada informe, si trabajaron de forma independiente, los procesos para obtener o confirmar datos de los investigadores del estudio y, si procede, los detalles de las herramientas de automatización utilizadas en el proceso.   "/>
    <b v="0"/>
    <b v="0"/>
    <b v="0"/>
    <x v="1"/>
    <b v="0"/>
    <x v="1"/>
  </r>
  <r>
    <x v="6"/>
    <s v="Lista de datos "/>
    <s v="10a"/>
    <s v="Enumerar y definir todos los desenlaces (outcomes) para los cuales se buscaron datos. Especifique si se buscaron todos los resultados admitidos por cada desenlace (outcome) en cada estudio (por ejemplo, para todas las medidas, puntos de tiempo, análisis) y, si no, los métodos utilizados para decidir qué resultados recopilar.  "/>
    <b v="0"/>
    <b v="0"/>
    <b v="0"/>
    <x v="1"/>
    <b v="0"/>
    <x v="1"/>
  </r>
  <r>
    <x v="7"/>
    <m/>
    <s v="10b"/>
    <s v="Enumerar y definir todas las demás variables para las cuales se buscaron datos (por ejemplo, características de participante e intervención, fuentes de financiación). Describa cualquier asunción hecha sobre cualquier información que falte o no esté clara.  "/>
    <b v="0"/>
    <b v="0"/>
    <b v="0"/>
    <x v="1"/>
    <b v="0"/>
    <x v="1"/>
  </r>
  <r>
    <x v="8"/>
    <s v="Estudio y valoración del riesgo de sesgo  "/>
    <n v="11"/>
    <s v="Especifique los métodos utilizados para evaluar el riesgo de sesgo en los estudios incluidos, incluidos los detalles de las herramientas utilizadas, cuántos revisores evaluaron cada estudio y si trabajaron de forma independiente y, si procede, los detalles de las herramientas de automatización utilizadas en el proceso.   "/>
    <b v="0"/>
    <b v="0"/>
    <b v="0"/>
    <x v="1"/>
    <b v="0"/>
    <x v="1"/>
  </r>
  <r>
    <x v="8"/>
    <s v="Medidas de efecto "/>
    <n v="12"/>
    <s v="Especifique para cada resultado como se midió el efecto (por ejemplo, riesgo relativo, diferencia de medias) utilizadas en la síntesis o presentación de resultados.  "/>
    <b v="0"/>
    <b v="0"/>
    <b v="0"/>
    <x v="1"/>
    <b v="0"/>
    <x v="1"/>
  </r>
  <r>
    <x v="7"/>
    <s v="Métodos de síntesis "/>
    <s v="13a"/>
    <s v="Describa los procesos utilizados para decidir qué estudios eran elegibles para cada síntesis. (por ejemplo, tabular las características de la intervención del estudio y comparar con los grupos planificados para cada síntesis (ítem #5)). "/>
    <b v="0"/>
    <b v="0"/>
    <b v="0"/>
    <x v="1"/>
    <b v="0"/>
    <x v="1"/>
  </r>
  <r>
    <x v="7"/>
    <s v="  "/>
    <s v="13b"/>
    <s v=" Describir los métodos necesarios para preparar los datos para la presentación o síntesis, como el manejo de las estadísticas de resumen que faltan o las conversiones de datos.  "/>
    <b v="0"/>
    <b v="0"/>
    <b v="0"/>
    <x v="1"/>
    <b v="0"/>
    <x v="1"/>
  </r>
  <r>
    <x v="7"/>
    <s v=" "/>
    <s v="13c"/>
    <s v="Describir cualquier método utilizado para tabular o mostrar visualmente los resultados de estudios individuales y síntesis.  "/>
    <b v="0"/>
    <b v="0"/>
    <b v="0"/>
    <x v="1"/>
    <b v="0"/>
    <x v="1"/>
  </r>
  <r>
    <x v="7"/>
    <m/>
    <s v="13d"/>
    <s v=" Describir los métodos utilizados para sintetizar resultados y proporcionar justificación para las opciones. Si se realizó un metanálisis, describa el modelo (s), el método(s) para identificar la presencia y el alcance de la heterogeneidad estadística y paquete(s) de software utilizados.  "/>
    <b v="0"/>
    <b v="0"/>
    <b v="0"/>
    <x v="1"/>
    <b v="0"/>
    <x v="1"/>
  </r>
  <r>
    <x v="7"/>
    <m/>
    <s v="13e"/>
    <s v="Describa los métodos utilizados para explorar las posibles causas de la heterogeneidad entre los resultados del estudio (por ejemplo análisis de subgrupos, meta-regresión) "/>
    <b v="0"/>
    <b v="0"/>
    <b v="0"/>
    <x v="1"/>
    <b v="0"/>
    <x v="1"/>
  </r>
  <r>
    <x v="7"/>
    <s v="  "/>
    <s v="13f"/>
    <s v=" Describir los análisis de sensibilidad realizados para evaluar la fortaleza de los resultados sintetizados. "/>
    <b v="0"/>
    <b v="0"/>
    <b v="0"/>
    <x v="1"/>
    <b v="0"/>
    <x v="1"/>
  </r>
  <r>
    <x v="8"/>
    <s v="Informar de la evaluación del sesgo    "/>
    <n v="14"/>
    <s v="Describa cualquier método utilizado para evaluar el riesgo de sesgo debido a la falta de resultados en una síntesis (derivada de sesgos de notificación).  "/>
    <b v="0"/>
    <b v="0"/>
    <b v="0"/>
    <x v="1"/>
    <b v="0"/>
    <x v="1"/>
  </r>
  <r>
    <x v="8"/>
    <s v="Evaluación de la certeza   "/>
    <n v="15"/>
    <s v="Describa cualquier método utilizado para evaluar la certeza (o confianza) en el cuerpo de evidencia para un desenlace.  "/>
    <b v="0"/>
    <b v="0"/>
    <b v="0"/>
    <x v="1"/>
    <b v="0"/>
    <x v="1"/>
  </r>
  <r>
    <x v="0"/>
    <m/>
    <s v="RESULTADOS"/>
    <m/>
    <m/>
    <m/>
    <m/>
    <x v="0"/>
    <m/>
    <x v="0"/>
  </r>
  <r>
    <x v="7"/>
    <s v="Selección de los estudios  "/>
    <s v="16a"/>
    <s v="Describa los resultados del proceso de búsqueda y selección, desde el número de registros identificados en la búsqueda hasta el número de estudios incluidos en la revisión, idealmente utilizando un diagrama de flujo (consulte la figura 1).  "/>
    <b v="0"/>
    <b v="0"/>
    <b v="0"/>
    <x v="1"/>
    <b v="0"/>
    <x v="1"/>
  </r>
  <r>
    <x v="7"/>
    <s v=" "/>
    <s v="16b"/>
    <s v="Cite los estudios que parece que cumplieran muchos criterios de inclusión y explique por qué fueron excluidos.  "/>
    <b v="0"/>
    <b v="0"/>
    <b v="0"/>
    <x v="1"/>
    <b v="0"/>
    <x v="1"/>
  </r>
  <r>
    <x v="7"/>
    <s v="Características del estudio  "/>
    <n v="17"/>
    <s v="Cite cada estudio incluido y muestre sus características.  "/>
    <b v="0"/>
    <b v="0"/>
    <b v="0"/>
    <x v="1"/>
    <b v="0"/>
    <x v="1"/>
  </r>
  <r>
    <x v="8"/>
    <s v="Riesgo de sesgo en los estudios  "/>
    <n v="18"/>
    <s v="Presente la evaluación del riesgo de sesgo para cada estudio que se incluido en la revisión.  "/>
    <b v="0"/>
    <b v="0"/>
    <b v="0"/>
    <x v="1"/>
    <b v="0"/>
    <x v="1"/>
  </r>
  <r>
    <x v="7"/>
    <s v="Resultados de estudios individuales  "/>
    <n v="19"/>
    <s v="Para los resultados de cada estudio: a) estadísticas resumidas para cada grupo (cuando proceda) y b) una estimación de efectos y su precisión (por ejemplo, intervalo confianza/intervalo creíble), idealmente utilizando tablas o gráficas estructuradas.  "/>
    <b v="0"/>
    <b v="0"/>
    <b v="0"/>
    <x v="1"/>
    <b v="0"/>
    <x v="1"/>
  </r>
  <r>
    <x v="7"/>
    <s v="Resultados de la síntesis  "/>
    <s v="20a"/>
    <s v="Para cada combinación o síntesis, resuma brevemente las características y el riesgo de sesgo entre los estudios.  "/>
    <b v="0"/>
    <b v="0"/>
    <b v="0"/>
    <x v="1"/>
    <b v="0"/>
    <x v="1"/>
  </r>
  <r>
    <x v="7"/>
    <m/>
    <s v="20b"/>
    <s v="Presente los resultados de todas las combinaciones o síntesis estadísticas realizadas. Si se realizó un metanálisis, presente para cada uno un resumen de la estimación y su precisión (por ejemplo. confianza/intervalo creíble) y medidas estadísticas de heterogeneidad. Si compara grupos, describa la dirección del efecto.  "/>
    <b v="0"/>
    <b v="0"/>
    <b v="0"/>
    <x v="1"/>
    <b v="0"/>
    <x v="1"/>
  </r>
  <r>
    <x v="7"/>
    <s v=" "/>
    <s v="20c"/>
    <s v="Presente resultados de toda la investigación de posibles causas de heterogeneidad entre los resultados del estudio.   "/>
    <b v="0"/>
    <b v="0"/>
    <b v="0"/>
    <x v="1"/>
    <b v="0"/>
    <x v="1"/>
  </r>
  <r>
    <x v="7"/>
    <s v=" "/>
    <s v="20d"/>
    <s v="Presente los resultados de todos los análisis de sensibilidad realizados para evaluar la solidez de los resultados combinados.  "/>
    <b v="0"/>
    <b v="0"/>
    <b v="0"/>
    <x v="1"/>
    <b v="0"/>
    <x v="1"/>
  </r>
  <r>
    <x v="8"/>
    <s v="Reportar sesgos  "/>
    <n v="21"/>
    <s v=" Evaluaciones de los riesgos de sesgo debido a la falta de resultados (derivados de sesgos de notificación) para cada combinación evaluada.  "/>
    <b v="0"/>
    <b v="0"/>
    <b v="0"/>
    <x v="1"/>
    <b v="0"/>
    <x v="1"/>
  </r>
  <r>
    <x v="8"/>
    <s v="Certeza de la evidencia  "/>
    <n v="22"/>
    <s v="Proporcione evaluaciones de certeza (o confianza) en la evidencia de cada resultado evaluado.  "/>
    <b v="0"/>
    <b v="0"/>
    <b v="0"/>
    <x v="1"/>
    <b v="0"/>
    <x v="1"/>
  </r>
  <r>
    <x v="0"/>
    <m/>
    <s v="DISCUSI0N"/>
    <m/>
    <m/>
    <m/>
    <m/>
    <x v="0"/>
    <m/>
    <x v="0"/>
  </r>
  <r>
    <x v="2"/>
    <s v="Discusión  "/>
    <s v="23a"/>
    <s v="Proporcionar una interpretación general de los resultados en el contexto de otras pruebas.  "/>
    <b v="0"/>
    <b v="0"/>
    <b v="0"/>
    <x v="1"/>
    <b v="0"/>
    <x v="1"/>
  </r>
  <r>
    <x v="2"/>
    <m/>
    <s v="23b"/>
    <s v=" Discuta cualquier limitación de la evidencia incluida en el examen"/>
    <b v="0"/>
    <b v="0"/>
    <b v="0"/>
    <x v="1"/>
    <b v="0"/>
    <x v="1"/>
  </r>
  <r>
    <x v="2"/>
    <m/>
    <s v="23c"/>
    <s v="Discutir las limitaciones de los procesos de revisión utilizados.  "/>
    <b v="0"/>
    <b v="0"/>
    <b v="0"/>
    <x v="1"/>
    <b v="0"/>
    <x v="1"/>
  </r>
  <r>
    <x v="2"/>
    <m/>
    <s v="23d"/>
    <s v=" Discutir las implicaciones de los resultados para la práctica, la política y la investigación futura"/>
    <b v="0"/>
    <b v="0"/>
    <b v="0"/>
    <x v="1"/>
    <b v="0"/>
    <x v="1"/>
  </r>
  <r>
    <x v="0"/>
    <m/>
    <s v="MÁS INFORMACIÓN"/>
    <m/>
    <m/>
    <m/>
    <m/>
    <x v="0"/>
    <m/>
    <x v="0"/>
  </r>
  <r>
    <x v="1"/>
    <s v="Registro y protocolo  "/>
    <s v="24a"/>
    <s v="Proporcione información del registro de la revisión, incluido el nombre del registro y el número de registro, o indique que la revisión no se registró.   "/>
    <b v="0"/>
    <b v="0"/>
    <b v="0"/>
    <x v="1"/>
    <b v="0"/>
    <x v="1"/>
  </r>
  <r>
    <x v="1"/>
    <s v=".   "/>
    <s v="24b"/>
    <s v="Indique dónde se puede acceder al protocolo de revisión o indique que no se ha preparado un protocolo.  "/>
    <b v="0"/>
    <b v="0"/>
    <b v="0"/>
    <x v="1"/>
    <b v="0"/>
    <x v="1"/>
  </r>
  <r>
    <x v="1"/>
    <m/>
    <s v="24c"/>
    <s v="Describir y explicar cualquier cambio en la información proporcionada en el registro o protocolo.  "/>
    <b v="0"/>
    <b v="0"/>
    <b v="0"/>
    <x v="1"/>
    <b v="0"/>
    <x v="1"/>
  </r>
  <r>
    <x v="1"/>
    <s v="Apoyo  "/>
    <n v="25"/>
    <s v="Describa las fuentes de apoyo financiero o no financiero para su revisión, y el papel de los financiadores o patrocinadores en la revisión.  "/>
    <b v="0"/>
    <b v="0"/>
    <b v="0"/>
    <x v="1"/>
    <b v="0"/>
    <x v="1"/>
  </r>
  <r>
    <x v="2"/>
    <s v="Conflicto de intereses competitivos  "/>
    <n v="26"/>
    <s v="Declarar cualquier conflicto de interés de los autores de las revisiones.  "/>
    <b v="0"/>
    <b v="0"/>
    <b v="0"/>
    <x v="1"/>
    <b v="0"/>
    <x v="1"/>
  </r>
  <r>
    <x v="9"/>
    <s v="Disponibilidad de datos, código y otros materiales  "/>
    <n v="27"/>
    <s v="Informe cuáles de las siguientes opciones están disponibles públicamente y dónde se pueden encontrar: formularios y plantillas de recopilación de  datos; datos extraídos de los estudios incluidos; datos utilizados para todos los análisis; código analítico; cualquier otro material utilizado en la  revisión.  "/>
    <b v="0"/>
    <b v="0"/>
    <b v="0"/>
    <x v="1"/>
    <b v="0"/>
    <x v="1"/>
  </r>
  <r>
    <x v="0"/>
    <m/>
    <s v="Titulo"/>
    <s v=".Tabla 2.1.- Lista de verificación PRISMA 2020 para resúmenes*"/>
    <m/>
    <m/>
    <m/>
    <x v="0"/>
    <m/>
    <x v="0"/>
  </r>
  <r>
    <x v="9"/>
    <s v="Titulo "/>
    <n v="1"/>
    <s v="Identifique el informe como una revisión sistemática "/>
    <b v="0"/>
    <b v="0"/>
    <b v="0"/>
    <x v="1"/>
    <b v="0"/>
    <x v="1"/>
  </r>
  <r>
    <x v="0"/>
    <m/>
    <s v="Información básica   "/>
    <m/>
    <m/>
    <m/>
    <m/>
    <x v="0"/>
    <m/>
    <x v="0"/>
  </r>
  <r>
    <x v="1"/>
    <s v="Objetivos "/>
    <n v="2"/>
    <s v="Proporcione una declaración explícita de los principales objetivos(s) o pregunta(s) que se plantea la revisión. "/>
    <b v="0"/>
    <b v="0"/>
    <b v="0"/>
    <x v="1"/>
    <b v="0"/>
    <x v="1"/>
  </r>
  <r>
    <x v="0"/>
    <m/>
    <s v="Métodos"/>
    <m/>
    <m/>
    <m/>
    <m/>
    <x v="0"/>
    <m/>
    <x v="0"/>
  </r>
  <r>
    <x v="1"/>
    <s v="Criterios de elegibilidad "/>
    <n v="3"/>
    <s v="Especifique los criterios de inclusión y exclusión de la revisión "/>
    <b v="0"/>
    <b v="0"/>
    <b v="0"/>
    <x v="1"/>
    <b v="0"/>
    <x v="1"/>
  </r>
  <r>
    <x v="4"/>
    <s v="Fuentes de información "/>
    <n v="4"/>
    <s v="Especifique las fuentes de información (por ejemplo, bases de datos, registros) utilizadas para identificar estudios y la fecha en que se buscó cada una por última vez. "/>
    <b v="0"/>
    <b v="0"/>
    <b v="0"/>
    <x v="1"/>
    <b v="0"/>
    <x v="1"/>
  </r>
  <r>
    <x v="8"/>
    <s v="Riesgo de sesgo "/>
    <n v="5"/>
    <s v="Especifique los métodos utilizados para evaluar el riesgo de sesgo de los estudios incluidos. "/>
    <m/>
    <m/>
    <m/>
    <x v="0"/>
    <m/>
    <x v="1"/>
  </r>
  <r>
    <x v="7"/>
    <s v="Síntesis de resultados "/>
    <n v="6"/>
    <s v="Especifique los métodos utilizados para presentar y sintetizar resultados. "/>
    <b v="0"/>
    <b v="0"/>
    <b v="0"/>
    <x v="1"/>
    <b v="0"/>
    <x v="1"/>
  </r>
  <r>
    <x v="0"/>
    <m/>
    <s v="RESULTADOS"/>
    <m/>
    <m/>
    <m/>
    <m/>
    <x v="0"/>
    <m/>
    <x v="0"/>
  </r>
  <r>
    <x v="7"/>
    <s v="Estudios incluidos "/>
    <n v="7"/>
    <s v="Dar el número total de estudios y participantes incluidos y resumir las características relevantes de los estudios "/>
    <b v="0"/>
    <b v="0"/>
    <b v="0"/>
    <x v="1"/>
    <b v="0"/>
    <x v="1"/>
  </r>
  <r>
    <x v="7"/>
    <s v="Síntesis de los resultados"/>
    <n v="8"/>
    <s v="Presentar resultados para los desenlaces (outcomes) principales, indicando preferiblemente el número de estudios incluidos y participantes para cada uno. Si se hizo un metanálisis, informe de la estimación resumida y el intervalo de confianza / creíble. Si se comparan grupos, indique la dirección del efecto (es decir, que grupo es favorecido). "/>
    <b v="0"/>
    <b v="0"/>
    <b v="0"/>
    <x v="1"/>
    <b v="0"/>
    <x v="1"/>
  </r>
  <r>
    <x v="0"/>
    <m/>
    <s v="Discusión"/>
    <m/>
    <m/>
    <m/>
    <m/>
    <x v="0"/>
    <m/>
    <x v="0"/>
  </r>
  <r>
    <x v="2"/>
    <s v="Limitaciones de la evidencia "/>
    <n v="9"/>
    <s v="Proporcione un breve resumen de las limitaciones de las pruebas incluidas en la revisión (por ejemplo, riesgo de sesgo, inconsistencia e imprecisión del estudio). "/>
    <b v="0"/>
    <b v="0"/>
    <b v="0"/>
    <x v="1"/>
    <b v="0"/>
    <x v="1"/>
  </r>
  <r>
    <x v="2"/>
    <s v="Interpretación "/>
    <n v="10"/>
    <s v="Proporcione una interpretación general de los resultados y de las implicaciones importantes "/>
    <b v="0"/>
    <b v="0"/>
    <b v="0"/>
    <x v="1"/>
    <b v="0"/>
    <x v="1"/>
  </r>
  <r>
    <x v="0"/>
    <m/>
    <s v="FUENTES DE INFORMACIÓN Y MÉTODOS"/>
    <s v=".Tabla 1 Lista de verificación de PRISMA-S. Una versión descargable de la lista de comprobación está disponible en la web de PRISMA"/>
    <m/>
    <m/>
    <m/>
    <x v="0"/>
    <m/>
    <x v="0"/>
  </r>
  <r>
    <x v="3"/>
    <s v="Nombre de la base de datos"/>
    <n v="1"/>
    <s v="Nombra cada base de datos individual buscada, indicando la plataforma de cada una."/>
    <b v="0"/>
    <b v="0"/>
    <b v="0"/>
    <x v="1"/>
    <b v="0"/>
    <x v="1"/>
  </r>
  <r>
    <x v="3"/>
    <s v="Búsqueda multibase de datos"/>
    <n v="2"/>
    <s v="Si se buscaron bases de datos simultáneamente en una sola plataforma, se indica el nombre de la plataforma, listando todas las bases de datos buscadas."/>
    <m/>
    <m/>
    <m/>
    <x v="0"/>
    <m/>
    <x v="1"/>
  </r>
  <r>
    <x v="3"/>
    <s v="Registros de estudios"/>
    <n v="3"/>
    <s v="Enumera cualquier registro de estudios que hayas buscado."/>
    <b v="0"/>
    <b v="0"/>
    <b v="0"/>
    <x v="1"/>
    <b v="0"/>
    <x v="1"/>
  </r>
  <r>
    <x v="3"/>
    <s v="Recursos online y navegación"/>
    <n v="4"/>
    <s v="Describe cualquier fuente en línea o impresa que se haya buscado o navegado intencionadamente (por ejemplo, índice, actas impresas de conferencias, sitios web) y cómo se hizo esto."/>
    <m/>
    <m/>
    <m/>
    <x v="0"/>
    <m/>
    <x v="1"/>
  </r>
  <r>
    <x v="3"/>
    <s v="Búsqueda de citas"/>
    <n v="5"/>
    <s v="Indica si se han examinado referencias citadas o referencias citantes, y describe cualquier método utilizado para localizar referencias citadas/citantes (por ejemplo, navegar por listas de referencias, usar un índice de citas, configurar alertas por correo electrónico para referencias que citen estudios incluidos)."/>
    <b v="0"/>
    <b v="0"/>
    <b v="0"/>
    <x v="1"/>
    <b v="0"/>
    <x v="1"/>
  </r>
  <r>
    <x v="3"/>
    <s v="Contactos"/>
    <n v="6"/>
    <s v="Indica si se solicitaron estudios o datos adicionales contactando a autores, expertos, fabricantes u otros."/>
    <b v="0"/>
    <b v="0"/>
    <b v="0"/>
    <x v="1"/>
    <b v="0"/>
    <x v="1"/>
  </r>
  <r>
    <x v="3"/>
    <s v="Otros métodos"/>
    <n v="7"/>
    <s v="Describe cualquier fuente adicional de información o método de búsqueda utilizado."/>
    <b v="0"/>
    <b v="0"/>
    <b v="0"/>
    <x v="1"/>
    <b v="0"/>
    <x v="1"/>
  </r>
  <r>
    <x v="3"/>
    <m/>
    <s v="ESTRATEGIAS DE BÚSQUEDA"/>
    <m/>
    <m/>
    <m/>
    <m/>
    <x v="0"/>
    <m/>
    <x v="1"/>
  </r>
  <r>
    <x v="3"/>
    <s v="Estrategias de búsqueda completas"/>
    <n v="8"/>
    <s v="Incluye las estrategias de búsqueda para cada base de datos y fuente de información, copiadas y pegadas exactamente tal como se ejecuta."/>
    <b v="0"/>
    <b v="0"/>
    <b v="0"/>
    <x v="1"/>
    <b v="0"/>
    <x v="1"/>
  </r>
  <r>
    <x v="3"/>
    <s v="Límites y restricciones"/>
    <n v="9"/>
    <s v="Especificar que no se han utilizado límites, o describir cualquier límite o restricción aplicado a una búsqueda (por ejemplo, fecha o periodo de tiempo, idioma, diseño de estudio) y proporcionar justificación para su uso."/>
    <b v="0"/>
    <b v="0"/>
    <b v="0"/>
    <x v="1"/>
    <b v="0"/>
    <x v="1"/>
  </r>
  <r>
    <x v="3"/>
    <s v="Filtros de búsqueda"/>
    <n v="10"/>
    <s v="Indica si se usaron filtros de búsqueda publicados (tal como fueron diseñados originalmente o modificados) y, en caso afirmativo, cita el/los filtro o filtros utilizados."/>
    <b v="0"/>
    <b v="0"/>
    <b v="0"/>
    <x v="1"/>
    <b v="0"/>
    <x v="1"/>
  </r>
  <r>
    <x v="3"/>
    <s v="Trabajos previos"/>
    <n v="11"/>
    <s v="Indicar cuándo se han adaptado o reutilizado estrategias de búsqueda de otras revisiones bibliográficas para una parte sustantiva o para toda la búsqueda, citando la(s) revisión(es) previa(s)."/>
    <b v="0"/>
    <b v="0"/>
    <b v="0"/>
    <x v="1"/>
    <b v="0"/>
    <x v="1"/>
  </r>
  <r>
    <x v="3"/>
    <s v="Actualizaciones"/>
    <n v="12"/>
    <s v="Informa de los métodos utilizados para actualizar la(s) búsqueda(s) (por ejemplo, volver a ejecutar búsquedas, alertas por correo electrónico)."/>
    <b v="0"/>
    <b v="0"/>
    <b v="0"/>
    <x v="1"/>
    <b v="0"/>
    <x v="1"/>
  </r>
  <r>
    <x v="3"/>
    <s v="Fechas de las búsquedas"/>
    <n v="13"/>
    <s v="Para cada estrategia de búsqueda, proporciona la fecha en que se realizó la última búsqueda."/>
    <b v="0"/>
    <b v="0"/>
    <b v="0"/>
    <x v="1"/>
    <b v="0"/>
    <x v="1"/>
  </r>
  <r>
    <x v="0"/>
    <m/>
    <s v="REVISIÓN POR PARES"/>
    <m/>
    <m/>
    <m/>
    <m/>
    <x v="0"/>
    <m/>
    <x v="0"/>
  </r>
  <r>
    <x v="3"/>
    <s v="Revisión por pares"/>
    <n v="14"/>
    <s v="Describe cualquier proceso de revisión por pares de búsqueda."/>
    <b v="0"/>
    <b v="0"/>
    <b v="0"/>
    <x v="1"/>
    <b v="0"/>
    <x v="1"/>
  </r>
  <r>
    <x v="0"/>
    <m/>
    <s v="DISCOS DE GESTIÓN"/>
    <m/>
    <m/>
    <m/>
    <m/>
    <x v="0"/>
    <m/>
    <x v="0"/>
  </r>
  <r>
    <x v="3"/>
    <s v="Récords totales"/>
    <n v="15"/>
    <s v="Documenta el número total de registros identificados en cada base de datos y otras fuentes de información."/>
    <b v="0"/>
    <b v="0"/>
    <b v="0"/>
    <x v="1"/>
    <b v="0"/>
    <x v="1"/>
  </r>
  <r>
    <x v="3"/>
    <s v="Deduplicación"/>
    <n v="16"/>
    <s v="Describe los procesos y cualquier software utilizado para deduplicar registros de múltiples búsquedas en bases de datos y otras fuentes de información."/>
    <b v="0"/>
    <b v="0"/>
    <b v="0"/>
    <x v="1"/>
    <b v="0"/>
    <x v="1"/>
  </r>
  <r>
    <x v="0"/>
    <m/>
    <s v="PRESS"/>
    <s v=".Tabla3. Lista de verificación basada en la evidencia de la Guía PRESS 2015"/>
    <m/>
    <m/>
    <m/>
    <x v="0"/>
    <m/>
    <x v="0"/>
  </r>
  <r>
    <x v="3"/>
    <s v="Traducción de la pregunta de investigación"/>
    <n v="1"/>
    <s v="¿La estrategia de búsqueda coincide con la pregunta de investigación/PICO?"/>
    <b v="0"/>
    <b v="0"/>
    <b v="0"/>
    <x v="1"/>
    <b v="0"/>
    <x v="1"/>
  </r>
  <r>
    <x v="3"/>
    <m/>
    <m/>
    <s v="¿Son claros los conceptos de búsqueda?"/>
    <b v="0"/>
    <b v="0"/>
    <b v="0"/>
    <x v="1"/>
    <b v="0"/>
    <x v="1"/>
  </r>
  <r>
    <x v="3"/>
    <m/>
    <m/>
    <s v="¿Hay demasiados o muy pocos elementos PICO incluidos?"/>
    <b v="0"/>
    <b v="0"/>
    <b v="0"/>
    <x v="1"/>
    <b v="0"/>
    <x v="1"/>
  </r>
  <r>
    <x v="3"/>
    <m/>
    <m/>
    <s v="¿Son los conceptos de búsqueda demasiado limitados o demasiado amplios?"/>
    <b v="0"/>
    <b v="0"/>
    <b v="0"/>
    <x v="1"/>
    <b v="0"/>
    <x v="1"/>
  </r>
  <r>
    <x v="3"/>
    <m/>
    <m/>
    <s v="¿La búsqueda recupera demasiados o muy pocos registros? (Por favor, muestra el número de visitas por línea.)"/>
    <b v="0"/>
    <b v="0"/>
    <b v="0"/>
    <x v="1"/>
    <b v="0"/>
    <x v="1"/>
  </r>
  <r>
    <x v="3"/>
    <m/>
    <m/>
    <s v="¿Se explican las estrategias no convencionales o complejas?"/>
    <b v="0"/>
    <b v="0"/>
    <b v="0"/>
    <x v="1"/>
    <b v="0"/>
    <x v="1"/>
  </r>
  <r>
    <x v="3"/>
    <s v="Operadores booleanos y de proximidad (estos varían según el servicio de búsqueda)"/>
    <n v="2"/>
    <s v="¿Se usan correctamente los operadores booleanos o de proximidad?"/>
    <b v="0"/>
    <b v="0"/>
    <b v="0"/>
    <x v="1"/>
    <b v="0"/>
    <x v="1"/>
  </r>
  <r>
    <x v="3"/>
    <m/>
    <m/>
    <s v="¿Es apropiado y efectivo el uso del anidamiento con corchetes para la búsqueda?"/>
    <b v="0"/>
    <b v="0"/>
    <b v="0"/>
    <x v="1"/>
    <b v="0"/>
    <x v="1"/>
  </r>
  <r>
    <x v="3"/>
    <m/>
    <m/>
    <s v="Si se usa NO (NO se usa), ¿es probable que esto resulte en alguna exclusión no deseada?"/>
    <b v="0"/>
    <b v="0"/>
    <b v="0"/>
    <x v="1"/>
    <b v="0"/>
    <x v="1"/>
  </r>
  <r>
    <x v="3"/>
    <m/>
    <m/>
    <s v="¿Se podría mejorar la precisión usando operadores de proximidad (por ejemplo, adyacente, cerca, dentro) o búsqueda por frases en lugar de AND?"/>
    <b v="0"/>
    <b v="0"/>
    <b v="0"/>
    <x v="1"/>
    <b v="0"/>
    <x v="1"/>
  </r>
  <r>
    <x v="3"/>
    <m/>
    <m/>
    <s v="¿Es adecuada la anchura de los operadores de proximidad (por ejemplo, ¿podría adj5 captar más variantes que adj2)?"/>
    <b v="0"/>
    <b v="0"/>
    <b v="0"/>
    <x v="1"/>
    <b v="0"/>
    <x v="1"/>
  </r>
  <r>
    <x v="3"/>
    <s v="Encabezados de materia (específicos de la base de datos)"/>
    <n v="3"/>
    <s v="¿Son relevantes los encabezados de los temas?"/>
    <b v="0"/>
    <b v="0"/>
    <b v="0"/>
    <x v="1"/>
    <b v="0"/>
    <x v="1"/>
  </r>
  <r>
    <x v="3"/>
    <m/>
    <m/>
    <s v="¿Faltan encabezados relevantes de materias? Por ejemplo, ¿términos de índice anteriores?"/>
    <b v="0"/>
    <b v="0"/>
    <b v="0"/>
    <x v="1"/>
    <b v="0"/>
    <x v="1"/>
  </r>
  <r>
    <x v="3"/>
    <m/>
    <m/>
    <s v="¿Hay algún encabezado de materia demasiado amplio o demasiado limitado?"/>
    <b v="0"/>
    <b v="0"/>
    <b v="0"/>
    <x v="1"/>
    <b v="0"/>
    <x v="1"/>
  </r>
  <r>
    <x v="3"/>
    <m/>
    <m/>
    <s v="¿Se explotan los encabezados de los temas cuando es necesario y viceversa?"/>
    <b v="0"/>
    <b v="0"/>
    <b v="0"/>
    <x v="1"/>
    <b v="0"/>
    <x v="1"/>
  </r>
  <r>
    <x v="3"/>
    <m/>
    <m/>
    <s v="¿Se usan los títulos principales (&quot;protagonizados&quot; o restringidos al foco)? Si es así, ¿hay justificación adecuada?"/>
    <b v="0"/>
    <b v="0"/>
    <b v="0"/>
    <x v="1"/>
    <b v="0"/>
    <x v="1"/>
  </r>
  <r>
    <x v="3"/>
    <m/>
    <m/>
    <s v="¿Faltan subtítulos?"/>
    <b v="0"/>
    <b v="0"/>
    <b v="0"/>
    <x v="1"/>
    <b v="0"/>
    <x v="1"/>
  </r>
  <r>
    <x v="3"/>
    <m/>
    <m/>
    <s v="¿Se adjuntan subtítulos a los encabezados de materia? (Puede ser preferible subtítulo flotante.)"/>
    <b v="0"/>
    <b v="0"/>
    <b v="0"/>
    <x v="1"/>
    <b v="0"/>
    <x v="1"/>
  </r>
  <r>
    <x v="3"/>
    <m/>
    <m/>
    <s v="¿Son relevantes y se usan adecuadamente los subtítulos flotantes?"/>
    <b v="0"/>
    <b v="0"/>
    <b v="0"/>
    <x v="1"/>
    <b v="0"/>
    <x v="1"/>
  </r>
  <r>
    <x v="3"/>
    <m/>
    <m/>
    <s v="¿Se utilizan tanto los encabezados de materia como los términos en texto libre (véase lo siguiente) para cada concepto?"/>
    <b v="0"/>
    <b v="0"/>
    <b v="0"/>
    <x v="1"/>
    <b v="0"/>
    <x v="1"/>
  </r>
  <r>
    <x v="3"/>
    <s v="Búsqueda de palabras en texto (texto libre)"/>
    <n v="4"/>
    <s v="¿La búsqueda incluye todas las variantes ortográficas en texto libre (por ejemplo, ortografía del Reino Unido vs. EE. UU.)?"/>
    <b v="0"/>
    <b v="0"/>
    <b v="0"/>
    <x v="1"/>
    <b v="0"/>
    <x v="1"/>
  </r>
  <r>
    <x v="3"/>
    <m/>
    <m/>
    <s v="¿La búsqueda incluye todos los sinónimos o antónimos (por ejemplo, opuestos)?"/>
    <b v="0"/>
    <b v="0"/>
    <b v="0"/>
    <x v="1"/>
    <b v="0"/>
    <x v="1"/>
  </r>
  <r>
    <x v="3"/>
    <m/>
    <m/>
    <s v="¿La búsqueda captura la truncación relevante (es decir, si la truncación está en el lugar correcto)?"/>
    <b v="0"/>
    <b v="0"/>
    <b v="0"/>
    <x v="1"/>
    <b v="0"/>
    <x v="1"/>
  </r>
  <r>
    <x v="3"/>
    <m/>
    <m/>
    <s v="¿La truncación es demasiado amplia o demasiado estrecha?"/>
    <b v="0"/>
    <b v="0"/>
    <b v="0"/>
    <x v="1"/>
    <b v="0"/>
    <x v="1"/>
  </r>
  <r>
    <x v="3"/>
    <m/>
    <m/>
    <s v="¿Se usan adecuadamente los acrónimos o abreviaturas? ¿Capturan material irrelevante? ¿También se incluyen los términos completos?"/>
    <b v="0"/>
    <b v="0"/>
    <b v="0"/>
    <x v="1"/>
    <b v="0"/>
    <x v="1"/>
  </r>
  <r>
    <x v="3"/>
    <m/>
    <m/>
    <s v="¿Las palabras clave son lo suficientemente específicas o demasiado amplias? ¿Se usan demasiadas o muy pocas palabras clave? ¿Se usan palabras de parada?"/>
    <b v="0"/>
    <b v="0"/>
    <b v="0"/>
    <x v="1"/>
    <b v="0"/>
    <x v="1"/>
  </r>
  <r>
    <x v="3"/>
    <m/>
    <m/>
    <s v="¿Se han buscado en los campos correspondientes? Por ejemplo, ¿es apropiada la elección de los campos de palabra de texto (.tw.) o de todos los campos (.af)? ¿Hay otros campos que se puedan incluir o excluir (específicos de la base de datos)?"/>
    <b v="0"/>
    <b v="0"/>
    <b v="0"/>
    <x v="1"/>
    <b v="0"/>
    <x v="1"/>
  </r>
  <r>
    <x v="3"/>
    <m/>
    <m/>
    <s v="¿Deberían dividirse las cadenas largas en varias sentencias de búsqueda más cortas?"/>
    <b v="0"/>
    <b v="0"/>
    <b v="0"/>
    <x v="1"/>
    <b v="0"/>
    <x v="1"/>
  </r>
  <r>
    <x v="3"/>
    <s v="Ortografía, sintaxis y números de línea"/>
    <n v="5"/>
    <s v="¿Hay algún error ortográfico?"/>
    <b v="0"/>
    <b v="0"/>
    <b v="0"/>
    <x v="1"/>
    <b v="0"/>
    <x v="1"/>
  </r>
  <r>
    <x v="3"/>
    <m/>
    <m/>
    <s v="¿Hay errores en la sintaxis del sistema? Por ejemplo, ¿el uso de un símbolo de truncamiento desde una interfaz de búsqueda diferente?"/>
    <b v="0"/>
    <b v="0"/>
    <b v="0"/>
    <x v="1"/>
    <b v="0"/>
    <x v="1"/>
  </r>
  <r>
    <x v="3"/>
    <m/>
    <m/>
    <s v="¿Existen combinaciones incorrectas de líneas o líneas huérfanas (es decir, líneas que no se mencionan en la suma final que podrían indicar un error en una instrucción AND o OR)?"/>
    <b v="0"/>
    <b v="0"/>
    <b v="0"/>
    <x v="1"/>
    <b v="0"/>
    <x v="1"/>
  </r>
  <r>
    <x v="3"/>
    <s v="Límites y filtros"/>
    <n v="6"/>
    <s v="¿Se usan todos los límites y filtros de forma adecuada y son relevantes dada la pregunta de investigación?"/>
    <b v="0"/>
    <b v="0"/>
    <b v="0"/>
    <x v="1"/>
    <b v="0"/>
    <x v="1"/>
  </r>
  <r>
    <x v="3"/>
    <m/>
    <m/>
    <s v="¿Se usan todos los límites y filtros correctamente y son relevantes para la base de datos?"/>
    <b v="0"/>
    <b v="0"/>
    <b v="0"/>
    <x v="1"/>
    <b v="0"/>
    <x v="1"/>
  </r>
  <r>
    <x v="3"/>
    <m/>
    <m/>
    <s v="¿Faltan límites o filtros potencialmente útiles? ¿Los límites o filtros son demasiado amplios o demasiado estrechos? ¿Se pueden añadir o eliminar límites o filtros?"/>
    <b v="0"/>
    <b v="0"/>
    <b v="0"/>
    <x v="1"/>
    <b v="0"/>
    <x v="1"/>
  </r>
  <r>
    <x v="3"/>
    <m/>
    <m/>
    <s v="¿Se citan las fuentes para los filtros que se usan?"/>
    <b v="0"/>
    <b v="0"/>
    <b v="0"/>
    <x v="1"/>
    <b v="0"/>
    <x v="1"/>
  </r>
  <r>
    <x v="0"/>
    <s v="INFORMACIÓN ADMINISTRATIVA"/>
    <m/>
    <s v=".Tabla 4 Lista de verificación PRISMA-P 2015: elementos recomendados para incluir en un protocolo de revisión sistemática"/>
    <m/>
    <m/>
    <m/>
    <x v="0"/>
    <m/>
    <x v="0"/>
  </r>
  <r>
    <x v="10"/>
    <s v="Título"/>
    <m/>
    <m/>
    <b v="1"/>
    <b v="0"/>
    <b v="0"/>
    <x v="1"/>
    <b v="0"/>
    <x v="2"/>
  </r>
  <r>
    <x v="10"/>
    <s v="Identificación"/>
    <s v="1a"/>
    <s v="Identificar el informe como un protocolo de una revisión sistemática"/>
    <b v="0"/>
    <b v="0"/>
    <b v="0"/>
    <x v="1"/>
    <b v="0"/>
    <x v="1"/>
  </r>
  <r>
    <x v="10"/>
    <s v="Actualización"/>
    <s v="1b"/>
    <s v="Si el protocolo es para una actualización de una revisión sistemática previa, identifícate como tal"/>
    <b v="1"/>
    <b v="0"/>
    <b v="0"/>
    <x v="1"/>
    <b v="0"/>
    <x v="2"/>
  </r>
  <r>
    <x v="10"/>
    <s v="Registro"/>
    <n v="2"/>
    <s v="Si está registrado, proporciona el nombre del registro (por ejemplo, PROSPERO) y el número de registro"/>
    <b v="0"/>
    <b v="0"/>
    <b v="0"/>
    <x v="1"/>
    <b v="0"/>
    <x v="1"/>
  </r>
  <r>
    <x v="10"/>
    <s v="Autores"/>
    <m/>
    <m/>
    <b v="0"/>
    <b v="0"/>
    <b v="0"/>
    <x v="1"/>
    <b v="0"/>
    <x v="1"/>
  </r>
  <r>
    <x v="10"/>
    <s v="Contacto"/>
    <s v="3a"/>
    <s v="Proporcionar el nombre, afiliación institucional y dirección de correo electrónico de todos los autores del protocolo; proporcionar la dirección física del autor correspondiente"/>
    <b v="0"/>
    <b v="0"/>
    <b v="0"/>
    <x v="1"/>
    <b v="0"/>
    <x v="1"/>
  </r>
  <r>
    <x v="10"/>
    <s v="Contribuciones"/>
    <s v="3b"/>
    <s v="Describe las contribuciones de los autores del protocolo e identifica al garante de la revisión"/>
    <b v="0"/>
    <b v="0"/>
    <b v="0"/>
    <x v="1"/>
    <b v="0"/>
    <x v="1"/>
  </r>
  <r>
    <x v="10"/>
    <s v="Enmiendas"/>
    <n v="4"/>
    <s v="Si el protocolo representa una enmienda de un protocolo previamente completado o publicado, identifícese como tal y enumere los cambios; de lo contrario, el plan estatal para documentar enmiendas importantes al protocolo"/>
    <b v="0"/>
    <b v="0"/>
    <b v="0"/>
    <x v="1"/>
    <b v="0"/>
    <x v="1"/>
  </r>
  <r>
    <x v="10"/>
    <s v="Apoyo"/>
    <m/>
    <m/>
    <b v="0"/>
    <b v="0"/>
    <b v="0"/>
    <x v="1"/>
    <b v="0"/>
    <x v="1"/>
  </r>
  <r>
    <x v="10"/>
    <s v="Fuentes"/>
    <s v="5A"/>
    <s v="Indica las fuentes de apoyo financiero u otro tipo para la revisión"/>
    <b v="0"/>
    <b v="0"/>
    <b v="0"/>
    <x v="1"/>
    <b v="0"/>
    <x v="1"/>
  </r>
  <r>
    <x v="10"/>
    <s v="Patrocinador"/>
    <s v="5b"/>
    <s v="Proporciona el nombre del financiador de la revisión y/o patrocinador"/>
    <b v="0"/>
    <b v="0"/>
    <b v="0"/>
    <x v="1"/>
    <b v="0"/>
    <x v="1"/>
  </r>
  <r>
    <x v="10"/>
    <s v="Papel del patrocinador/financiador"/>
    <s v="5c"/>
    <s v="Describe los roles de los financiadores, patrocinadores y/o instituciones, si los hubieran, en el desarrollo del protocolo"/>
    <b v="0"/>
    <b v="0"/>
    <b v="0"/>
    <x v="1"/>
    <b v="0"/>
    <x v="1"/>
  </r>
  <r>
    <x v="10"/>
    <s v="INTRODUCCIÓN"/>
    <m/>
    <m/>
    <b v="0"/>
    <b v="0"/>
    <b v="0"/>
    <x v="1"/>
    <b v="0"/>
    <x v="1"/>
  </r>
  <r>
    <x v="10"/>
    <s v="Justificación"/>
    <n v="6"/>
    <s v="Describe la razón de la revisión en el contexto de lo que ya se sabe"/>
    <b v="0"/>
    <b v="0"/>
    <b v="0"/>
    <x v="1"/>
    <b v="0"/>
    <x v="1"/>
  </r>
  <r>
    <x v="10"/>
    <s v="Objetivos"/>
    <n v="7"/>
    <s v="Proporciona una declaración explícita de la(s) pregunta(s) que abordará la revisión con referencia a los participantes, intervenciones, comparadores y resultados (PICO)"/>
    <b v="0"/>
    <b v="0"/>
    <b v="0"/>
    <x v="1"/>
    <b v="0"/>
    <x v="1"/>
  </r>
  <r>
    <x v="1"/>
    <s v="MÉTODOS"/>
    <m/>
    <m/>
    <b v="0"/>
    <b v="0"/>
    <b v="0"/>
    <x v="1"/>
    <b v="0"/>
    <x v="1"/>
  </r>
  <r>
    <x v="1"/>
    <s v="Criterios de elegibilidad"/>
    <n v="8"/>
    <s v="Especificar las características del estudio (por ejemplo, PICO, diseño del estudio, entorno, plazo) y las características del informe (por ejemplo, años considerados, idioma, estado de publicación) que se usarán como criterios para la elegibilidad para la revisión"/>
    <b v="0"/>
    <b v="0"/>
    <b v="0"/>
    <x v="1"/>
    <b v="0"/>
    <x v="1"/>
  </r>
  <r>
    <x v="1"/>
    <s v="Fuentes de información"/>
    <n v="9"/>
    <s v="Describe todas las fuentes de información previstas (por ejemplo, bases de datos electrónicas, contacto con autores de estudios, registros de ensayos u otras fuentes de literatura gris) con fechas previstas de cobertura"/>
    <b v="0"/>
    <b v="0"/>
    <b v="0"/>
    <x v="1"/>
    <b v="0"/>
    <x v="1"/>
  </r>
  <r>
    <x v="1"/>
    <s v="Estrategia de búsqueda"/>
    <n v="10"/>
    <s v="Presente borrador de estrategia de búsqueda para usarse en al menos una base de datos electrónica, incluyendo límites previstos, de modo que pueda repetirse"/>
    <b v="0"/>
    <b v="0"/>
    <b v="0"/>
    <x v="1"/>
    <b v="0"/>
    <x v="1"/>
  </r>
  <r>
    <x v="1"/>
    <s v="Registros de estudios"/>
    <m/>
    <m/>
    <b v="0"/>
    <b v="0"/>
    <b v="0"/>
    <x v="1"/>
    <b v="0"/>
    <x v="1"/>
  </r>
  <r>
    <x v="1"/>
    <s v="Gestión de datos"/>
    <s v="11A"/>
    <s v="Describe el(los) mecanismo(s) que se utilizarán para gestionar registros y datos a lo largo de la revisión"/>
    <b v="0"/>
    <b v="0"/>
    <b v="0"/>
    <x v="1"/>
    <b v="0"/>
    <x v="1"/>
  </r>
  <r>
    <x v="1"/>
    <s v="Proceso de selección"/>
    <s v="11b"/>
    <s v="Indique el proceso que se utilizará para seleccionar los estudios (por ejemplo, dos revisores independientes) en cada fase de la revisión (es decir, cribado, elegibilidad e inclusión en metaanálisis)"/>
    <b v="0"/>
    <b v="0"/>
    <b v="0"/>
    <x v="1"/>
    <b v="0"/>
    <x v="1"/>
  </r>
  <r>
    <x v="1"/>
    <s v="Proceso de recopilación de datos"/>
    <s v="11c"/>
    <s v="Describe el método planificado para extraer datos de informes (por ejemplo, formularios piloto, realizados de forma independiente o en duplicado), cualquier proceso para obtener y confirmar datos de los investigadores"/>
    <b v="0"/>
    <b v="0"/>
    <b v="0"/>
    <x v="1"/>
    <b v="0"/>
    <x v="1"/>
  </r>
  <r>
    <x v="1"/>
    <s v="Elementos de datos"/>
    <n v="12"/>
    <s v="Enumera y define todas las variables para las que se buscarán datos (por ejemplo, elementos PICO, fuentes de financiación), cualquier supuesto de datos preplanificado y simplificaciones"/>
    <b v="0"/>
    <b v="0"/>
    <b v="0"/>
    <x v="1"/>
    <b v="0"/>
    <x v="1"/>
  </r>
  <r>
    <x v="1"/>
    <s v="Resultados y priorización"/>
    <n v="13"/>
    <s v="Enumera y define todos los resultados para los que se buscarán datos, incluyendo la priorización de los principales y adicionales resultados, con la justificación"/>
    <b v="0"/>
    <b v="0"/>
    <b v="0"/>
    <x v="1"/>
    <b v="0"/>
    <x v="1"/>
  </r>
  <r>
    <x v="1"/>
    <s v="Riesgo de sesgo en estudios individuales"/>
    <n v="14"/>
    <s v="Describe los métodos previstos para evaluar el riesgo de sesgo de estudios individuales, incluyendo si esto se realizará a nivel de resultado o estudio, o ambos; Indique cómo se utilizará esta información en la síntesis de datos"/>
    <b v="0"/>
    <b v="0"/>
    <b v="0"/>
    <x v="1"/>
    <b v="0"/>
    <x v="1"/>
  </r>
  <r>
    <x v="1"/>
    <s v="Datos"/>
    <m/>
    <m/>
    <b v="0"/>
    <b v="0"/>
    <b v="0"/>
    <x v="1"/>
    <b v="0"/>
    <x v="1"/>
  </r>
  <r>
    <x v="1"/>
    <s v="Síntesis"/>
    <s v="15A"/>
    <s v="Describe criterios bajo los cuales los datos del estudio se sintetizarán cuantitativamente"/>
    <b v="0"/>
    <b v="0"/>
    <b v="0"/>
    <x v="1"/>
    <b v="0"/>
    <x v="1"/>
  </r>
  <r>
    <x v="1"/>
    <m/>
    <s v="15b"/>
    <s v="Si los datos son apropiados para la síntesis cuantitativa, describe las medidas resumidas planificadas, los métodos de manejo de datos y los métodos para combinar datos de estudios, incluyendo cualquier exploración planificada de consistencia (por ejemplo, I 2, tau de Kendall)"/>
    <b v="0"/>
    <b v="0"/>
    <b v="0"/>
    <x v="1"/>
    <b v="0"/>
    <x v="1"/>
  </r>
  <r>
    <x v="1"/>
    <m/>
    <s v="15c"/>
    <s v="Describe cualquier análisis adicional propuesto (por ejemplo, análisis de sensibilidad o subgrupos, meta-regresión)"/>
    <b v="0"/>
    <b v="0"/>
    <b v="0"/>
    <x v="1"/>
    <b v="0"/>
    <x v="1"/>
  </r>
  <r>
    <x v="1"/>
    <m/>
    <s v="15d"/>
    <s v="Si la síntesis cuantitativa no es adecuada, describe el tipo de resumen previsto"/>
    <b v="0"/>
    <b v="0"/>
    <b v="0"/>
    <x v="1"/>
    <b v="0"/>
    <x v="1"/>
  </r>
  <r>
    <x v="1"/>
    <s v="Meta-sesgo(s)"/>
    <n v="16"/>
    <s v="Especificar cualquier evaluación planificada de metasesgos(es) (por ejemplo, sesgo de publicación entre estudios, reporte selectivo dentro de los estudios)"/>
    <b v="0"/>
    <b v="0"/>
    <b v="0"/>
    <x v="1"/>
    <b v="0"/>
    <x v="1"/>
  </r>
  <r>
    <x v="1"/>
    <s v="Confianza en la evidencia acumulativa"/>
    <n v="17"/>
    <s v="Describe cómo se evaluará la solidez del cuerpo de pruebas (por ejemplo, GRADE)"/>
    <b v="0"/>
    <b v="0"/>
    <b v="0"/>
    <x v="1"/>
    <b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13EB65-BE9C-4511-8418-923D282C0CFC}" name="TablaDinámica2"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6" firstHeaderRow="1" firstDataRow="2" firstDataCol="1"/>
  <pivotFields count="10">
    <pivotField axis="axisRow" showAll="0" sortType="ascending">
      <items count="22">
        <item x="10"/>
        <item m="1" x="20"/>
        <item x="9"/>
        <item m="1" x="19"/>
        <item x="1"/>
        <item m="1" x="11"/>
        <item x="3"/>
        <item m="1" x="13"/>
        <item x="4"/>
        <item m="1" x="14"/>
        <item x="5"/>
        <item m="1" x="15"/>
        <item x="6"/>
        <item m="1" x="16"/>
        <item x="8"/>
        <item m="1" x="18"/>
        <item x="7"/>
        <item m="1" x="17"/>
        <item x="2"/>
        <item m="1" x="12"/>
        <item x="0"/>
        <item t="default"/>
      </items>
    </pivotField>
    <pivotField showAll="0"/>
    <pivotField showAll="0"/>
    <pivotField showAll="0"/>
    <pivotField showAll="0"/>
    <pivotField showAll="0"/>
    <pivotField showAll="0"/>
    <pivotField showAll="0"/>
    <pivotField showAll="0"/>
    <pivotField axis="axisCol" dataField="1" multipleItemSelectionAllowed="1" showAll="0" includeNewItemsInFilter="1" countASubtotal="1" productSubtotal="1">
      <items count="9">
        <item x="1"/>
        <item x="2"/>
        <item m="1" x="3"/>
        <item m="1" x="6"/>
        <item m="1" x="5"/>
        <item m="1" x="4"/>
        <item x="0"/>
        <item t="product"/>
        <item t="countA"/>
      </items>
    </pivotField>
  </pivotFields>
  <rowFields count="1">
    <field x="0"/>
  </rowFields>
  <rowItems count="12">
    <i>
      <x/>
    </i>
    <i>
      <x v="2"/>
    </i>
    <i>
      <x v="4"/>
    </i>
    <i>
      <x v="6"/>
    </i>
    <i>
      <x v="8"/>
    </i>
    <i>
      <x v="10"/>
    </i>
    <i>
      <x v="12"/>
    </i>
    <i>
      <x v="14"/>
    </i>
    <i>
      <x v="16"/>
    </i>
    <i>
      <x v="18"/>
    </i>
    <i>
      <x v="20"/>
    </i>
    <i t="grand">
      <x/>
    </i>
  </rowItems>
  <colFields count="1">
    <field x="9"/>
  </colFields>
  <colItems count="4">
    <i>
      <x/>
    </i>
    <i>
      <x v="1"/>
    </i>
    <i>
      <x v="6"/>
    </i>
    <i t="grand">
      <x/>
    </i>
  </colItems>
  <dataFields count="1">
    <dataField name="Cuenta de STATU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27924D-2EE0-47FE-B298-54388509C27B}" name="Tabla1" displayName="Tabla1" ref="D21:H31" totalsRowShown="0" headerRowDxfId="13" dataDxfId="12">
  <tableColumns count="5">
    <tableColumn id="2" xr3:uid="{4B2C0909-C636-4CC0-83F5-1F5955023390}" name="FASE" dataDxfId="11"/>
    <tableColumn id="4" xr3:uid="{DD721D7B-FDC2-4F31-A708-ECECB3DA7622}" name="ACTIVIDADES PARA REVISAR CON CHECKLIST" dataDxfId="10"/>
    <tableColumn id="3" xr3:uid="{0871EFFD-D763-43A5-B783-C906011C1A16}" name="ESTADO" dataDxfId="9"/>
    <tableColumn id="5" xr3:uid="{3784985D-8B50-4B86-9BFF-89FE05D1346A}" name="PROGRESO" dataDxfId="8"/>
    <tableColumn id="6" xr3:uid="{DE416262-2E72-401D-8DDD-37C59A13C4D7}" name="Columna1" dataDxfId="7"/>
  </tableColumns>
  <tableStyleInfo name="TableStyleMedium2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C:\Users\estef\OneDrive\PROTOCOL%202.0.pdf" TargetMode="External"/><Relationship Id="rId1" Type="http://schemas.openxmlformats.org/officeDocument/2006/relationships/hyperlink" Target="whttps://onedrive.live.com/?id=ee2f8133-7003-44fe-8ccb-62bd95190b04&amp;cid=56df2b9a7ccb28b8"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475AF-EDAC-4F73-9DB3-0247F4991841}">
  <dimension ref="B1:R46"/>
  <sheetViews>
    <sheetView topLeftCell="A3" workbookViewId="0">
      <selection activeCell="C6" sqref="C6"/>
    </sheetView>
  </sheetViews>
  <sheetFormatPr baseColWidth="10" defaultRowHeight="15"/>
  <cols>
    <col min="1" max="2" width="4.28515625" customWidth="1"/>
    <col min="3" max="3" width="21" style="2" customWidth="1"/>
    <col min="4" max="4" width="10.42578125" style="35" customWidth="1"/>
    <col min="5" max="5" width="48.28515625" style="2" customWidth="1"/>
    <col min="6" max="6" width="11.5703125" style="4" customWidth="1"/>
    <col min="7" max="7" width="12" hidden="1" customWidth="1"/>
    <col min="8" max="8" width="19.140625" hidden="1" customWidth="1"/>
    <col min="9" max="9" width="15.5703125" hidden="1" customWidth="1"/>
    <col min="10" max="14" width="8" customWidth="1"/>
    <col min="15" max="15" width="12.28515625" customWidth="1"/>
    <col min="16" max="16" width="24.5703125" customWidth="1"/>
    <col min="17" max="17" width="16" customWidth="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spans="5:6" ht="16.5" customHeight="1"/>
    <row r="18" spans="5:6" ht="16.5" customHeight="1"/>
    <row r="19" spans="5:6" ht="16.5" customHeight="1"/>
    <row r="20" spans="5:6" ht="16.5" customHeight="1"/>
    <row r="21" spans="5:6" ht="16.5" customHeight="1"/>
    <row r="22" spans="5:6" ht="16.5" customHeight="1"/>
    <row r="23" spans="5:6" ht="16.5" customHeight="1"/>
    <row r="24" spans="5:6" ht="16.5" customHeight="1"/>
    <row r="25" spans="5:6" ht="16.5" customHeight="1"/>
    <row r="26" spans="5:6" ht="16.5" customHeight="1"/>
    <row r="27" spans="5:6" ht="16.5" customHeight="1"/>
    <row r="28" spans="5:6" ht="16.5" customHeight="1"/>
    <row r="29" spans="5:6" ht="16.5" customHeight="1"/>
    <row r="30" spans="5:6" ht="16.5" customHeight="1"/>
    <row r="31" spans="5:6" ht="16.5" customHeight="1"/>
    <row r="32" spans="5:6" ht="16.5" customHeight="1">
      <c r="E32" s="12"/>
      <c r="F32" s="58"/>
    </row>
    <row r="33" spans="2:18" ht="16.5" customHeight="1">
      <c r="B33" t="s">
        <v>277</v>
      </c>
      <c r="N33" t="s">
        <v>277</v>
      </c>
    </row>
    <row r="34" spans="2:18" ht="16.5" customHeight="1"/>
    <row r="35" spans="2:18" s="20" customFormat="1" ht="26.25" customHeight="1">
      <c r="C35" s="14" t="s">
        <v>353</v>
      </c>
      <c r="D35" s="41" t="s">
        <v>276</v>
      </c>
      <c r="E35" s="14" t="s">
        <v>352</v>
      </c>
      <c r="F35" s="10" t="s">
        <v>271</v>
      </c>
      <c r="G35" s="20" t="s">
        <v>377</v>
      </c>
      <c r="H35" s="20" t="s">
        <v>378</v>
      </c>
      <c r="I35" s="20" t="s">
        <v>379</v>
      </c>
      <c r="J35" s="11" t="s">
        <v>130</v>
      </c>
      <c r="K35" s="14" t="s">
        <v>131</v>
      </c>
      <c r="L35" s="14" t="s">
        <v>132</v>
      </c>
      <c r="M35" s="14" t="s">
        <v>133</v>
      </c>
      <c r="N35" s="14" t="s">
        <v>134</v>
      </c>
      <c r="O35" s="14" t="s">
        <v>413</v>
      </c>
      <c r="P35" s="11" t="s">
        <v>414</v>
      </c>
      <c r="Q35" s="11"/>
      <c r="R35" s="11"/>
    </row>
    <row r="36" spans="2:18" ht="26.25" customHeight="1">
      <c r="C36" s="62">
        <v>46204</v>
      </c>
      <c r="D36" s="35" t="s">
        <v>367</v>
      </c>
      <c r="E36" s="2" t="s">
        <v>241</v>
      </c>
      <c r="F36" s="52">
        <f t="shared" ref="F36:F46" si="0">_xlfn.PERCENTOF(H36,G36)</f>
        <v>0.93333333333333335</v>
      </c>
      <c r="G36">
        <f>COUNTIF(Checklist!$A:$A,TEXT(CALENDARIO!D36,1))</f>
        <v>15</v>
      </c>
      <c r="H36">
        <f>G36-I36</f>
        <v>14</v>
      </c>
      <c r="I36">
        <f>COUNTIFS(Checklist!$A:$A,TEXT(CALENDARIO!D36,1),Checklist!$J:$J,0)</f>
        <v>1</v>
      </c>
      <c r="J36" s="37">
        <f>_xlfn.PERCENTOF(COUNTIFS(Checklist!$A:$A,TEXT(CALENDARIO!D36,1),Checklist!$E:$E,TRUE),G36)</f>
        <v>0.53333333333333333</v>
      </c>
      <c r="K36" s="37">
        <f>_xlfn.PERCENTOF(COUNTIFS(Checklist!$A:$A,TEXT(CALENDARIO!D36,1),Checklist!$F:$F,TRUE),G36)</f>
        <v>0.13333333333333333</v>
      </c>
      <c r="L36" s="37">
        <f>_xlfn.PERCENTOF(COUNTIFS(Checklist!$A:$A,TEXT(CALENDARIO!D36,1),Checklist!$G:$G,TRUE),G36)</f>
        <v>0.46666666666666667</v>
      </c>
      <c r="M36" s="37">
        <f>_xlfn.PERCENTOF(COUNTIFS(Checklist!$A:$A,TEXT(CALENDARIO!D36,1),Checklist!$H:$H,TRUE),G36)</f>
        <v>0</v>
      </c>
      <c r="N36" s="37">
        <f>_xlfn.PERCENTOF(COUNTIFS(Checklist!$A:$A,TEXT(CALENDARIO!D36,1),Checklist!$I:$I,TRUE),G36)</f>
        <v>0.33333333333333331</v>
      </c>
      <c r="O36" s="61" t="s">
        <v>422</v>
      </c>
      <c r="P36" t="s">
        <v>410</v>
      </c>
    </row>
    <row r="37" spans="2:18" ht="26.25" customHeight="1">
      <c r="C37" s="62">
        <v>46245</v>
      </c>
      <c r="D37" s="35" t="s">
        <v>368</v>
      </c>
      <c r="E37" s="2" t="s">
        <v>244</v>
      </c>
      <c r="F37" s="52">
        <f t="shared" si="0"/>
        <v>1</v>
      </c>
      <c r="G37">
        <f>COUNTIF(Checklist!$A:$A,TEXT(CALENDARIO!D37,1))</f>
        <v>20</v>
      </c>
      <c r="H37">
        <f t="shared" ref="H37:H45" si="1">G37-I37</f>
        <v>20</v>
      </c>
      <c r="I37">
        <f>COUNTIFS(Checklist!$A:$A,TEXT(CALENDARIO!D37,1),Checklist!$J:$J,0)</f>
        <v>0</v>
      </c>
      <c r="J37" s="37">
        <f>_xlfn.PERCENTOF(COUNTIFS(Checklist!$A:$A,TEXT(CALENDARIO!D37,1),Checklist!$E:$E,TRUE),G37)</f>
        <v>0.7</v>
      </c>
      <c r="K37" s="37">
        <f>_xlfn.PERCENTOF(COUNTIFS(Checklist!$A:$A,TEXT(CALENDARIO!D37,1),Checklist!$F:$F,TRUE),G37)</f>
        <v>0.1</v>
      </c>
      <c r="L37" s="37">
        <f>_xlfn.PERCENTOF(COUNTIFS(Checklist!$A:$A,TEXT(CALENDARIO!D37,1),Checklist!$G:$G,TRUE),G37)</f>
        <v>0.9</v>
      </c>
      <c r="M37" s="37">
        <f>_xlfn.PERCENTOF(COUNTIFS(Checklist!$A:$A,TEXT(CALENDARIO!D37,1),Checklist!$H:$H,TRUE),G37)</f>
        <v>0</v>
      </c>
      <c r="N37" s="37">
        <f>_xlfn.PERCENTOF(COUNTIFS(Checklist!$A:$A,TEXT(CALENDARIO!D37,1),Checklist!$I:$I,TRUE),G37)</f>
        <v>0.1</v>
      </c>
      <c r="O37" s="61" t="s">
        <v>415</v>
      </c>
      <c r="P37" s="2" t="s">
        <v>411</v>
      </c>
      <c r="Q37" s="2" t="s">
        <v>6</v>
      </c>
    </row>
    <row r="38" spans="2:18" ht="26.25" customHeight="1">
      <c r="C38" s="62">
        <v>46266</v>
      </c>
      <c r="D38" s="35" t="s">
        <v>369</v>
      </c>
      <c r="E38" s="2" t="s">
        <v>247</v>
      </c>
      <c r="F38" s="52">
        <f t="shared" si="0"/>
        <v>0.98148148148148151</v>
      </c>
      <c r="G38">
        <f>COUNTIF(Checklist!$A:$A,TEXT(CALENDARIO!D38,1))</f>
        <v>54</v>
      </c>
      <c r="H38">
        <f t="shared" si="1"/>
        <v>53</v>
      </c>
      <c r="I38">
        <f>COUNTIFS(Checklist!$A:$A,TEXT(CALENDARIO!D38,1),Checklist!$J:$J,0)</f>
        <v>1</v>
      </c>
      <c r="J38" s="37">
        <f>_xlfn.PERCENTOF(COUNTIFS(Checklist!$A:$A,TEXT(CALENDARIO!D38,1),Checklist!$E:$E,TRUE),G38)</f>
        <v>0.96296296296296291</v>
      </c>
      <c r="K38" s="37">
        <f>_xlfn.PERCENTOF(COUNTIFS(Checklist!$A:$A,TEXT(CALENDARIO!D38,1),Checklist!$F:$F,TRUE),G38)</f>
        <v>0</v>
      </c>
      <c r="L38" s="37">
        <f>_xlfn.PERCENTOF(COUNTIFS(Checklist!$A:$A,TEXT(CALENDARIO!D38,1),Checklist!$G:$G,TRUE),G38)</f>
        <v>3.7037037037037035E-2</v>
      </c>
      <c r="M38" s="37">
        <f>_xlfn.PERCENTOF(COUNTIFS(Checklist!$A:$A,TEXT(CALENDARIO!D38,1),Checklist!$H:$H,TRUE),G38)</f>
        <v>0</v>
      </c>
      <c r="N38" s="37">
        <f>_xlfn.PERCENTOF(COUNTIFS(Checklist!$A:$A,TEXT(CALENDARIO!D38,1),Checklist!$I:$I,TRUE),G38)</f>
        <v>0</v>
      </c>
      <c r="P38" t="s">
        <v>412</v>
      </c>
      <c r="Q38" t="s">
        <v>419</v>
      </c>
    </row>
    <row r="39" spans="2:18" ht="26.25" customHeight="1">
      <c r="C39" s="62">
        <v>46270</v>
      </c>
      <c r="D39" s="35" t="s">
        <v>370</v>
      </c>
      <c r="E39" s="2" t="s">
        <v>250</v>
      </c>
      <c r="F39" s="52">
        <f t="shared" si="0"/>
        <v>1</v>
      </c>
      <c r="G39">
        <f>COUNTIF(Checklist!$A:$A,TEXT(CALENDARIO!D39,1))</f>
        <v>2</v>
      </c>
      <c r="H39">
        <f t="shared" si="1"/>
        <v>2</v>
      </c>
      <c r="I39">
        <f>COUNTIFS(Checklist!$A:$A,TEXT(CALENDARIO!D39,1),Checklist!$J:$J,0)</f>
        <v>0</v>
      </c>
      <c r="J39" s="37">
        <f>_xlfn.PERCENTOF(COUNTIFS(Checklist!$A:$A,TEXT(CALENDARIO!D39,1),Checklist!$E:$E,TRUE),G39)</f>
        <v>1</v>
      </c>
      <c r="K39" s="37">
        <f>_xlfn.PERCENTOF(COUNTIFS(Checklist!$A:$A,TEXT(CALENDARIO!D39,1),Checklist!$F:$F,TRUE),G39)</f>
        <v>1</v>
      </c>
      <c r="L39" s="37">
        <f>_xlfn.PERCENTOF(COUNTIFS(Checklist!$A:$A,TEXT(CALENDARIO!D39,1),Checklist!$G:$G,TRUE),G39)</f>
        <v>0</v>
      </c>
      <c r="M39" s="37">
        <f>_xlfn.PERCENTOF(COUNTIFS(Checklist!$A:$A,TEXT(CALENDARIO!D39,1),Checklist!$H:$H,TRUE),G39)</f>
        <v>0</v>
      </c>
      <c r="N39" s="37">
        <f>_xlfn.PERCENTOF(COUNTIFS(Checklist!$A:$A,TEXT(CALENDARIO!D39,1),Checklist!$I:$I,TRUE),G39)</f>
        <v>0</v>
      </c>
      <c r="P39" s="2" t="s">
        <v>416</v>
      </c>
      <c r="Q39" s="2" t="s">
        <v>417</v>
      </c>
    </row>
    <row r="40" spans="2:18" ht="26.25" customHeight="1">
      <c r="C40" s="62">
        <v>46280</v>
      </c>
      <c r="D40" s="35" t="s">
        <v>371</v>
      </c>
      <c r="E40" s="2" t="s">
        <v>253</v>
      </c>
      <c r="F40" s="52">
        <f t="shared" si="0"/>
        <v>0</v>
      </c>
      <c r="G40">
        <f>COUNTIF(Checklist!$A:$A,TEXT(CALENDARIO!D40,1))</f>
        <v>1</v>
      </c>
      <c r="H40">
        <f t="shared" si="1"/>
        <v>0</v>
      </c>
      <c r="I40">
        <f>COUNTIFS(Checklist!$A:$A,TEXT(CALENDARIO!D40,1),Checklist!$J:$J,0)</f>
        <v>1</v>
      </c>
      <c r="J40" s="37">
        <f>_xlfn.PERCENTOF(COUNTIFS(Checklist!$A:$A,TEXT(CALENDARIO!D40,1),Checklist!$E:$E,TRUE),G40)</f>
        <v>0</v>
      </c>
      <c r="K40" s="37">
        <f>_xlfn.PERCENTOF(COUNTIFS(Checklist!$A:$A,TEXT(CALENDARIO!D40,1),Checklist!$F:$F,TRUE),G40)</f>
        <v>0</v>
      </c>
      <c r="L40" s="37">
        <f>_xlfn.PERCENTOF(COUNTIFS(Checklist!$A:$A,TEXT(CALENDARIO!D40,1),Checklist!$G:$G,TRUE),G40)</f>
        <v>0</v>
      </c>
      <c r="M40" s="37">
        <f>_xlfn.PERCENTOF(COUNTIFS(Checklist!$A:$A,TEXT(CALENDARIO!D40,1),Checklist!$H:$H,TRUE),G40)</f>
        <v>0</v>
      </c>
      <c r="N40" s="37">
        <f>_xlfn.PERCENTOF(COUNTIFS(Checklist!$A:$A,TEXT(CALENDARIO!D40,1),Checklist!$I:$I,TRUE),G40)</f>
        <v>0</v>
      </c>
    </row>
    <row r="41" spans="2:18" ht="26.25" customHeight="1">
      <c r="C41" s="62">
        <v>46295</v>
      </c>
      <c r="D41" s="35" t="s">
        <v>372</v>
      </c>
      <c r="E41" s="2" t="s">
        <v>256</v>
      </c>
      <c r="F41" s="52">
        <f t="shared" si="0"/>
        <v>0</v>
      </c>
      <c r="G41">
        <f>COUNTIF(Checklist!$A:$A,TEXT(CALENDARIO!D41,1))</f>
        <v>2</v>
      </c>
      <c r="H41">
        <f t="shared" si="1"/>
        <v>0</v>
      </c>
      <c r="I41">
        <f>COUNTIFS(Checklist!$A:$A,TEXT(CALENDARIO!D41,1),Checklist!$J:$J,0)</f>
        <v>2</v>
      </c>
      <c r="J41" s="37">
        <f>_xlfn.PERCENTOF(COUNTIFS(Checklist!$A:$A,TEXT(CALENDARIO!D41,1),Checklist!$E:$E,TRUE),G41)</f>
        <v>0</v>
      </c>
      <c r="K41" s="37">
        <f>_xlfn.PERCENTOF(COUNTIFS(Checklist!$A:$A,TEXT(CALENDARIO!D41,1),Checklist!$F:$F,TRUE),G41)</f>
        <v>0</v>
      </c>
      <c r="L41" s="37">
        <f>_xlfn.PERCENTOF(COUNTIFS(Checklist!$A:$A,TEXT(CALENDARIO!D41,1),Checklist!$G:$G,TRUE),G41)</f>
        <v>0</v>
      </c>
      <c r="M41" s="37">
        <f>_xlfn.PERCENTOF(COUNTIFS(Checklist!$A:$A,TEXT(CALENDARIO!D41,1),Checklist!$H:$H,TRUE),G41)</f>
        <v>0</v>
      </c>
      <c r="N41" s="37">
        <f>_xlfn.PERCENTOF(COUNTIFS(Checklist!$A:$A,TEXT(CALENDARIO!D41,1),Checklist!$I:$I,TRUE),G41)</f>
        <v>0</v>
      </c>
      <c r="P41" s="2" t="s">
        <v>421</v>
      </c>
    </row>
    <row r="42" spans="2:18" ht="26.25" customHeight="1">
      <c r="C42" s="62">
        <v>46310</v>
      </c>
      <c r="D42" s="35" t="s">
        <v>373</v>
      </c>
      <c r="E42" s="2" t="s">
        <v>259</v>
      </c>
      <c r="F42" s="52">
        <f t="shared" si="0"/>
        <v>0</v>
      </c>
      <c r="G42">
        <f>COUNTIF(Checklist!$A:$A,TEXT(CALENDARIO!D42,1))</f>
        <v>8</v>
      </c>
      <c r="H42">
        <f t="shared" si="1"/>
        <v>0</v>
      </c>
      <c r="I42">
        <f>COUNTIFS(Checklist!$A:$A,TEXT(CALENDARIO!D42,1),Checklist!$J:$J,0)</f>
        <v>8</v>
      </c>
      <c r="J42" s="37">
        <f>_xlfn.PERCENTOF(COUNTIFS(Checklist!$A:$A,TEXT(CALENDARIO!D42,1),Checklist!$E:$E,TRUE),G42)</f>
        <v>0</v>
      </c>
      <c r="K42" s="37">
        <f>_xlfn.PERCENTOF(COUNTIFS(Checklist!$A:$A,TEXT(CALENDARIO!D42,1),Checklist!$F:$F,TRUE),G42)</f>
        <v>0</v>
      </c>
      <c r="L42" s="37">
        <f>_xlfn.PERCENTOF(COUNTIFS(Checklist!$A:$A,TEXT(CALENDARIO!D42,1),Checklist!$G:$G,TRUE),G42)</f>
        <v>0</v>
      </c>
      <c r="M42" s="37">
        <f>_xlfn.PERCENTOF(COUNTIFS(Checklist!$A:$A,TEXT(CALENDARIO!D42,1),Checklist!$H:$H,TRUE),G42)</f>
        <v>0</v>
      </c>
      <c r="N42" s="37">
        <f>_xlfn.PERCENTOF(COUNTIFS(Checklist!$A:$A,TEXT(CALENDARIO!D42,1),Checklist!$I:$I,TRUE),G42)</f>
        <v>0</v>
      </c>
      <c r="P42" t="s">
        <v>418</v>
      </c>
      <c r="Q42" s="2" t="s">
        <v>423</v>
      </c>
    </row>
    <row r="43" spans="2:18" ht="26.25" customHeight="1">
      <c r="C43" s="62">
        <v>46325</v>
      </c>
      <c r="D43" s="35" t="s">
        <v>374</v>
      </c>
      <c r="E43" s="2" t="s">
        <v>351</v>
      </c>
      <c r="F43" s="52">
        <f t="shared" si="0"/>
        <v>0</v>
      </c>
      <c r="G43">
        <f>COUNTIF(Checklist!$A:$A,TEXT(CALENDARIO!D43,1))</f>
        <v>18</v>
      </c>
      <c r="H43">
        <f t="shared" si="1"/>
        <v>0</v>
      </c>
      <c r="I43">
        <f>COUNTIFS(Checklist!$A:$A,TEXT(CALENDARIO!D43,1),Checklist!$J:$J,0)</f>
        <v>18</v>
      </c>
      <c r="J43" s="37">
        <f>_xlfn.PERCENTOF(COUNTIFS(Checklist!$A:$A,TEXT(CALENDARIO!D43,1),Checklist!$E:$E,TRUE),G43)</f>
        <v>0</v>
      </c>
      <c r="K43" s="37">
        <f>_xlfn.PERCENTOF(COUNTIFS(Checklist!$A:$A,TEXT(CALENDARIO!D43,1),Checklist!$F:$F,TRUE),G43)</f>
        <v>0</v>
      </c>
      <c r="L43" s="37">
        <f>_xlfn.PERCENTOF(COUNTIFS(Checklist!$A:$A,TEXT(CALENDARIO!D43,1),Checklist!$G:$G,TRUE),G43)</f>
        <v>0</v>
      </c>
      <c r="M43" s="37">
        <f>_xlfn.PERCENTOF(COUNTIFS(Checklist!$A:$A,TEXT(CALENDARIO!D43,1),Checklist!$H:$H,TRUE),G43)</f>
        <v>0</v>
      </c>
      <c r="N43" s="37">
        <f>_xlfn.PERCENTOF(COUNTIFS(Checklist!$A:$A,TEXT(CALENDARIO!D43,1),Checklist!$I:$I,TRUE),G43)</f>
        <v>0</v>
      </c>
      <c r="P43" s="2" t="s">
        <v>1</v>
      </c>
    </row>
    <row r="44" spans="2:18" ht="26.25" customHeight="1">
      <c r="C44" s="62">
        <v>46341</v>
      </c>
      <c r="D44" s="35" t="s">
        <v>375</v>
      </c>
      <c r="E44" s="2" t="s">
        <v>265</v>
      </c>
      <c r="F44" s="52">
        <f t="shared" si="0"/>
        <v>0</v>
      </c>
      <c r="G44">
        <f>COUNTIF(Checklist!$A:$A,TEXT(CALENDARIO!D44,1))</f>
        <v>12</v>
      </c>
      <c r="H44">
        <f t="shared" si="1"/>
        <v>0</v>
      </c>
      <c r="I44">
        <f>COUNTIFS(Checklist!$A:$A,TEXT(CALENDARIO!D44,1),Checklist!$J:$J,0)</f>
        <v>12</v>
      </c>
      <c r="J44" s="37">
        <f>_xlfn.PERCENTOF(COUNTIFS(Checklist!$A:$A,TEXT(CALENDARIO!D44,1),Checklist!$E:$E,TRUE),G44)</f>
        <v>0</v>
      </c>
      <c r="K44" s="37">
        <f>_xlfn.PERCENTOF(COUNTIFS(Checklist!$A:$A,TEXT(CALENDARIO!D44,1),Checklist!$F:$F,TRUE),G44)</f>
        <v>0</v>
      </c>
      <c r="L44" s="37">
        <f>_xlfn.PERCENTOF(COUNTIFS(Checklist!$A:$A,TEXT(CALENDARIO!D44,1),Checklist!$G:$G,TRUE),G44)</f>
        <v>0</v>
      </c>
      <c r="M44" s="37">
        <f>_xlfn.PERCENTOF(COUNTIFS(Checklist!$A:$A,TEXT(CALENDARIO!D44,1),Checklist!$H:$H,TRUE),G44)</f>
        <v>0</v>
      </c>
      <c r="N44" s="37">
        <f>_xlfn.PERCENTOF(COUNTIFS(Checklist!$A:$A,TEXT(CALENDARIO!D44,1),Checklist!$I:$I,TRUE),G44)</f>
        <v>0</v>
      </c>
      <c r="P44" s="2" t="s">
        <v>11</v>
      </c>
      <c r="Q44" s="2" t="s">
        <v>2</v>
      </c>
    </row>
    <row r="45" spans="2:18" ht="26.25" customHeight="1">
      <c r="C45" s="62">
        <v>46356</v>
      </c>
      <c r="D45" s="35" t="s">
        <v>376</v>
      </c>
      <c r="E45" s="2" t="s">
        <v>268</v>
      </c>
      <c r="F45" s="52">
        <f t="shared" si="0"/>
        <v>0</v>
      </c>
      <c r="G45">
        <f>COUNTIF(Checklist!$A:$A,TEXT(CALENDARIO!D45,1))</f>
        <v>2</v>
      </c>
      <c r="H45">
        <f t="shared" si="1"/>
        <v>0</v>
      </c>
      <c r="I45">
        <f>COUNTIFS(Checklist!$A:$A,TEXT(CALENDARIO!D45,1),Checklist!$J:$J,0)</f>
        <v>2</v>
      </c>
      <c r="J45" s="37">
        <f>_xlfn.PERCENTOF(COUNTIFS(Checklist!$A:$A,TEXT(CALENDARIO!D45,1),Checklist!$E:$E,TRUE),G45)</f>
        <v>0</v>
      </c>
      <c r="K45" s="37">
        <f>_xlfn.PERCENTOF(COUNTIFS(Checklist!$A:$A,TEXT(CALENDARIO!D45,1),Checklist!$F:$F,TRUE),G45)</f>
        <v>0</v>
      </c>
      <c r="L45" s="37">
        <f>_xlfn.PERCENTOF(COUNTIFS(Checklist!$A:$A,TEXT(CALENDARIO!D45,1),Checklist!$G:$G,TRUE),G45)</f>
        <v>0</v>
      </c>
      <c r="M45" s="37">
        <f>_xlfn.PERCENTOF(COUNTIFS(Checklist!$A:$A,TEXT(CALENDARIO!D45,1),Checklist!$H:$H,TRUE),G45)</f>
        <v>0</v>
      </c>
      <c r="N45" s="37">
        <f>_xlfn.PERCENTOF(COUNTIFS(Checklist!$A:$A,TEXT(CALENDARIO!D45,1),Checklist!$I:$I,TRUE),G45)</f>
        <v>0</v>
      </c>
      <c r="P45" s="2" t="s">
        <v>0</v>
      </c>
    </row>
    <row r="46" spans="2:18" ht="26.25" customHeight="1">
      <c r="F46" s="52">
        <f t="shared" si="0"/>
        <v>0.66417910447761197</v>
      </c>
      <c r="G46">
        <f>SUM(G36:G45)</f>
        <v>134</v>
      </c>
      <c r="H46">
        <f t="shared" ref="H46:I46" si="2">SUM(H36:H45)</f>
        <v>89</v>
      </c>
      <c r="I46">
        <f t="shared" si="2"/>
        <v>45</v>
      </c>
      <c r="J46" s="37">
        <f>_xlfn.PERCENTOF(J36:J45,$G46)</f>
        <v>2.3852957435046986E-2</v>
      </c>
      <c r="K46" s="37">
        <f>_xlfn.PERCENTOF(K36:K45,$G46)</f>
        <v>9.2039800995024883E-3</v>
      </c>
      <c r="L46" s="37">
        <f>_xlfn.PERCENTOF(L36:L45,$G46)</f>
        <v>1.0475400773908237E-2</v>
      </c>
      <c r="M46" s="37">
        <f>_xlfn.PERCENTOF(M36:M45,$G46)</f>
        <v>0</v>
      </c>
      <c r="N46" s="37">
        <f>_xlfn.PERCENTOF(N36:N45,$G46)</f>
        <v>3.2338308457711446E-3</v>
      </c>
    </row>
  </sheetData>
  <conditionalFormatting sqref="F36:F46">
    <cfRule type="dataBar" priority="5">
      <dataBar>
        <cfvo type="min"/>
        <cfvo type="max"/>
        <color rgb="FF638EC6"/>
      </dataBar>
      <extLst>
        <ext xmlns:x14="http://schemas.microsoft.com/office/spreadsheetml/2009/9/main" uri="{B025F937-C7B1-47D3-B67F-A62EFF666E3E}">
          <x14:id>{9DA6C72C-0081-4F80-9A94-8B8E35D668FA}</x14:id>
        </ext>
      </extLst>
    </cfRule>
  </conditionalFormatting>
  <conditionalFormatting sqref="J36:N45">
    <cfRule type="colorScale" priority="2">
      <colorScale>
        <cfvo type="min"/>
        <cfvo type="percentile" val="50"/>
        <cfvo type="max"/>
        <color rgb="FF5A8AC6"/>
        <color rgb="FFFCFCFF"/>
        <color rgb="FFF8696B"/>
      </colorScale>
    </cfRule>
  </conditionalFormatting>
  <conditionalFormatting sqref="J46:N46">
    <cfRule type="colorScale" priority="1">
      <colorScale>
        <cfvo type="min"/>
        <cfvo type="max"/>
        <color rgb="FFFCFCFF"/>
        <color rgb="FF63BE7B"/>
      </colorScale>
    </cfRule>
  </conditionalFormatting>
  <dataValidations disablePrompts="1" count="1">
    <dataValidation type="list" allowBlank="1" showInputMessage="1" showErrorMessage="1" sqref="C33 O33:P33" xr:uid="{657A4DFD-E58B-4A25-B34B-3383FBD3E462}">
      <formula1>#REF!</formula1>
    </dataValidation>
  </dataValidations>
  <hyperlinks>
    <hyperlink ref="O36" r:id="rId1" xr:uid="{A042BB7B-9BA6-4E0B-B152-337960E6FF58}"/>
    <hyperlink ref="O37" r:id="rId2" xr:uid="{B6900FC3-D28D-4132-AE59-8ECA0BE324E0}"/>
  </hyperlinks>
  <pageMargins left="0.7" right="0.7" top="0.75" bottom="0.75" header="0.3" footer="0.3"/>
  <pageSetup orientation="portrait" r:id="rId3"/>
  <extLst>
    <ext xmlns:x14="http://schemas.microsoft.com/office/spreadsheetml/2009/9/main" uri="{78C0D931-6437-407d-A8EE-F0AAD7539E65}">
      <x14:conditionalFormattings>
        <x14:conditionalFormatting xmlns:xm="http://schemas.microsoft.com/office/excel/2006/main">
          <x14:cfRule type="dataBar" id="{9DA6C72C-0081-4F80-9A94-8B8E35D668FA}">
            <x14:dataBar minLength="0" maxLength="100" border="1" negativeBarBorderColorSameAsPositive="0">
              <x14:cfvo type="autoMin"/>
              <x14:cfvo type="autoMax"/>
              <x14:borderColor rgb="FF638EC6"/>
              <x14:negativeFillColor rgb="FFFF0000"/>
              <x14:negativeBorderColor rgb="FFFF0000"/>
              <x14:axisColor rgb="FF000000"/>
            </x14:dataBar>
          </x14:cfRule>
          <xm:sqref>F36:F46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D6F3-D77E-4746-814A-A9D651415B41}">
  <dimension ref="A3:E16"/>
  <sheetViews>
    <sheetView workbookViewId="0">
      <selection activeCell="D16" sqref="D16"/>
    </sheetView>
  </sheetViews>
  <sheetFormatPr baseColWidth="10" defaultRowHeight="15"/>
  <cols>
    <col min="1" max="1" width="23.28515625" bestFit="1" customWidth="1"/>
    <col min="2" max="2" width="22.85546875" bestFit="1" customWidth="1"/>
    <col min="3" max="3" width="2" bestFit="1" customWidth="1"/>
    <col min="4" max="4" width="3" bestFit="1" customWidth="1"/>
    <col min="5" max="6" width="12.5703125" bestFit="1" customWidth="1"/>
    <col min="7" max="7" width="2" bestFit="1" customWidth="1"/>
    <col min="8" max="8" width="3" bestFit="1" customWidth="1"/>
    <col min="9" max="10" width="12.5703125" bestFit="1" customWidth="1"/>
    <col min="11" max="16" width="3" bestFit="1" customWidth="1"/>
    <col min="17" max="17" width="11.42578125" customWidth="1"/>
    <col min="18" max="25" width="3" bestFit="1" customWidth="1"/>
    <col min="26" max="26" width="4" bestFit="1" customWidth="1"/>
    <col min="27" max="29" width="4.140625" bestFit="1" customWidth="1"/>
    <col min="30" max="31" width="4" bestFit="1" customWidth="1"/>
    <col min="32" max="32" width="4.140625" bestFit="1" customWidth="1"/>
    <col min="33" max="33" width="4" bestFit="1" customWidth="1"/>
    <col min="34" max="35" width="4.140625" bestFit="1" customWidth="1"/>
    <col min="36" max="36" width="3.7109375" bestFit="1" customWidth="1"/>
    <col min="37" max="38" width="4.140625" bestFit="1" customWidth="1"/>
    <col min="39" max="39" width="4" bestFit="1" customWidth="1"/>
    <col min="40" max="40" width="4.140625" bestFit="1" customWidth="1"/>
    <col min="41" max="41" width="4" bestFit="1" customWidth="1"/>
    <col min="42" max="42" width="4.140625" bestFit="1" customWidth="1"/>
    <col min="43" max="43" width="3" bestFit="1" customWidth="1"/>
    <col min="44" max="44" width="3.140625" bestFit="1" customWidth="1"/>
    <col min="45" max="45" width="4" bestFit="1" customWidth="1"/>
    <col min="46" max="46" width="4.140625" bestFit="1" customWidth="1"/>
    <col min="47" max="47" width="4" bestFit="1" customWidth="1"/>
    <col min="48" max="48" width="4.140625" bestFit="1" customWidth="1"/>
    <col min="49" max="49" width="4" bestFit="1" customWidth="1"/>
    <col min="50" max="50" width="4.140625" bestFit="1" customWidth="1"/>
    <col min="51" max="51" width="4" bestFit="1" customWidth="1"/>
    <col min="52" max="52" width="4.140625" bestFit="1" customWidth="1"/>
    <col min="53" max="53" width="4" bestFit="1" customWidth="1"/>
    <col min="54" max="54" width="4.140625" bestFit="1" customWidth="1"/>
    <col min="55" max="55" width="4" bestFit="1" customWidth="1"/>
    <col min="56" max="56" width="3" bestFit="1" customWidth="1"/>
    <col min="57" max="59" width="3.140625" bestFit="1" customWidth="1"/>
    <col min="60" max="60" width="3" bestFit="1" customWidth="1"/>
    <col min="61" max="61" width="40.28515625" bestFit="1" customWidth="1"/>
    <col min="62" max="62" width="19.85546875" bestFit="1" customWidth="1"/>
    <col min="63" max="63" width="11" bestFit="1" customWidth="1"/>
    <col min="64" max="64" width="10" bestFit="1" customWidth="1"/>
    <col min="65" max="65" width="53.7109375" bestFit="1" customWidth="1"/>
    <col min="66" max="66" width="27" bestFit="1" customWidth="1"/>
    <col min="67" max="67" width="37.7109375" bestFit="1" customWidth="1"/>
    <col min="68" max="68" width="19.42578125" bestFit="1" customWidth="1"/>
    <col min="69" max="69" width="15.28515625" bestFit="1" customWidth="1"/>
    <col min="70" max="70" width="15" bestFit="1" customWidth="1"/>
    <col min="71" max="71" width="18.7109375" bestFit="1" customWidth="1"/>
    <col min="72" max="72" width="10.140625" bestFit="1" customWidth="1"/>
    <col min="73" max="73" width="8.85546875" bestFit="1" customWidth="1"/>
    <col min="74" max="74" width="78.28515625" bestFit="1" customWidth="1"/>
    <col min="75" max="75" width="36" bestFit="1" customWidth="1"/>
    <col min="76" max="76" width="6.85546875" bestFit="1" customWidth="1"/>
    <col min="77" max="77" width="13" bestFit="1" customWidth="1"/>
    <col min="78" max="78" width="10" bestFit="1" customWidth="1"/>
    <col min="79" max="79" width="20.42578125" bestFit="1" customWidth="1"/>
    <col min="80" max="80" width="5.7109375" bestFit="1" customWidth="1"/>
    <col min="81" max="81" width="6.140625" bestFit="1" customWidth="1"/>
    <col min="82" max="82" width="39.85546875" bestFit="1" customWidth="1"/>
    <col min="83" max="83" width="11.140625" bestFit="1" customWidth="1"/>
    <col min="84" max="84" width="12.5703125" bestFit="1" customWidth="1"/>
  </cols>
  <sheetData>
    <row r="3" spans="1:5">
      <c r="A3" s="34" t="s">
        <v>363</v>
      </c>
      <c r="B3" s="34" t="s">
        <v>364</v>
      </c>
    </row>
    <row r="4" spans="1:5">
      <c r="A4" s="34" t="s">
        <v>360</v>
      </c>
      <c r="B4">
        <v>0</v>
      </c>
      <c r="C4">
        <v>1</v>
      </c>
      <c r="D4" t="s">
        <v>366</v>
      </c>
      <c r="E4" t="s">
        <v>362</v>
      </c>
    </row>
    <row r="5" spans="1:5">
      <c r="A5" s="35" t="s">
        <v>367</v>
      </c>
      <c r="B5">
        <v>13</v>
      </c>
      <c r="C5">
        <v>2</v>
      </c>
      <c r="E5">
        <v>15</v>
      </c>
    </row>
    <row r="6" spans="1:5">
      <c r="A6" s="35" t="s">
        <v>376</v>
      </c>
      <c r="B6">
        <v>2</v>
      </c>
      <c r="E6">
        <v>2</v>
      </c>
    </row>
    <row r="7" spans="1:5">
      <c r="A7" s="35" t="s">
        <v>368</v>
      </c>
      <c r="B7">
        <v>25</v>
      </c>
      <c r="E7">
        <v>25</v>
      </c>
    </row>
    <row r="8" spans="1:5">
      <c r="A8" s="35" t="s">
        <v>369</v>
      </c>
      <c r="B8">
        <v>54</v>
      </c>
      <c r="E8">
        <v>54</v>
      </c>
    </row>
    <row r="9" spans="1:5">
      <c r="A9" s="35" t="s">
        <v>370</v>
      </c>
      <c r="B9">
        <v>2</v>
      </c>
      <c r="E9">
        <v>2</v>
      </c>
    </row>
    <row r="10" spans="1:5">
      <c r="A10" s="35" t="s">
        <v>371</v>
      </c>
      <c r="B10">
        <v>1</v>
      </c>
      <c r="E10">
        <v>1</v>
      </c>
    </row>
    <row r="11" spans="1:5">
      <c r="A11" s="35" t="s">
        <v>372</v>
      </c>
      <c r="B11">
        <v>2</v>
      </c>
      <c r="E11">
        <v>2</v>
      </c>
    </row>
    <row r="12" spans="1:5">
      <c r="A12" s="35" t="s">
        <v>373</v>
      </c>
      <c r="B12">
        <v>8</v>
      </c>
      <c r="E12">
        <v>8</v>
      </c>
    </row>
    <row r="13" spans="1:5">
      <c r="A13" s="35" t="s">
        <v>374</v>
      </c>
      <c r="B13">
        <v>18</v>
      </c>
      <c r="E13">
        <v>18</v>
      </c>
    </row>
    <row r="14" spans="1:5">
      <c r="A14" s="35" t="s">
        <v>375</v>
      </c>
      <c r="B14">
        <v>10</v>
      </c>
      <c r="E14">
        <v>10</v>
      </c>
    </row>
    <row r="15" spans="1:5">
      <c r="A15" s="35" t="s">
        <v>361</v>
      </c>
      <c r="D15">
        <v>17</v>
      </c>
      <c r="E15">
        <v>17</v>
      </c>
    </row>
    <row r="16" spans="1:5">
      <c r="A16" s="35" t="s">
        <v>362</v>
      </c>
      <c r="B16">
        <v>135</v>
      </c>
      <c r="C16">
        <v>2</v>
      </c>
      <c r="D16">
        <v>17</v>
      </c>
      <c r="E16">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BC2A-312E-453A-BBA9-B96484F08716}">
  <sheetPr filterMode="1"/>
  <dimension ref="A1:P190"/>
  <sheetViews>
    <sheetView tabSelected="1" topLeftCell="A77" zoomScale="118" zoomScaleNormal="118" workbookViewId="0">
      <selection activeCell="K121" sqref="K121"/>
    </sheetView>
  </sheetViews>
  <sheetFormatPr baseColWidth="10" defaultRowHeight="15"/>
  <cols>
    <col min="1" max="1" width="12" style="35" customWidth="1"/>
    <col min="2" max="2" width="15.140625" style="2" customWidth="1"/>
    <col min="3" max="3" width="4.28515625" style="4" customWidth="1"/>
    <col min="4" max="4" width="71" style="2" customWidth="1"/>
    <col min="5" max="8" width="6.85546875" customWidth="1"/>
    <col min="9" max="9" width="8.42578125" customWidth="1"/>
    <col min="10" max="10" width="4" customWidth="1"/>
    <col min="11" max="11" width="14" customWidth="1"/>
    <col min="12" max="12" width="21.42578125" customWidth="1"/>
  </cols>
  <sheetData>
    <row r="1" spans="1:16" s="20" customFormat="1" ht="18" customHeight="1">
      <c r="A1" s="41" t="s">
        <v>276</v>
      </c>
      <c r="B1" s="15" t="s">
        <v>30</v>
      </c>
      <c r="C1" s="16" t="s">
        <v>31</v>
      </c>
      <c r="D1" s="14" t="s">
        <v>357</v>
      </c>
      <c r="E1" s="14" t="s">
        <v>130</v>
      </c>
      <c r="F1" s="14" t="s">
        <v>131</v>
      </c>
      <c r="G1" s="14" t="s">
        <v>132</v>
      </c>
      <c r="H1" s="14" t="s">
        <v>133</v>
      </c>
      <c r="I1" s="14" t="s">
        <v>134</v>
      </c>
      <c r="J1" s="14" t="s">
        <v>359</v>
      </c>
      <c r="K1" s="20" t="s">
        <v>381</v>
      </c>
      <c r="L1" s="41"/>
      <c r="P1" s="53"/>
    </row>
    <row r="2" spans="1:16" hidden="1">
      <c r="A2" s="59"/>
      <c r="C2" s="21" t="s">
        <v>32</v>
      </c>
      <c r="D2" s="43" t="s">
        <v>346</v>
      </c>
      <c r="E2" s="33"/>
      <c r="F2" s="33"/>
      <c r="G2" s="33"/>
      <c r="H2" s="33"/>
      <c r="I2" s="33"/>
      <c r="J2" t="s">
        <v>366</v>
      </c>
    </row>
    <row r="3" spans="1:16" hidden="1">
      <c r="A3" t="s">
        <v>368</v>
      </c>
      <c r="B3" s="15" t="s">
        <v>33</v>
      </c>
      <c r="C3" s="21">
        <v>1</v>
      </c>
      <c r="D3" s="17" t="s">
        <v>34</v>
      </c>
      <c r="E3" s="3" t="b">
        <v>1</v>
      </c>
      <c r="F3" s="3" t="b">
        <v>1</v>
      </c>
      <c r="G3" s="3" t="b">
        <v>0</v>
      </c>
      <c r="H3" s="3" t="b">
        <v>0</v>
      </c>
      <c r="I3" s="3" t="b">
        <v>0</v>
      </c>
      <c r="J3">
        <f>COUNTIF(E3:I3,(NOT(FALSE)))</f>
        <v>2</v>
      </c>
    </row>
    <row r="4" spans="1:16" hidden="1">
      <c r="A4" s="59"/>
      <c r="C4" s="21" t="s">
        <v>0</v>
      </c>
      <c r="D4" s="44"/>
      <c r="E4" s="33"/>
      <c r="F4" s="33"/>
      <c r="G4" s="33"/>
      <c r="H4" s="33"/>
      <c r="I4" s="33"/>
      <c r="J4" t="s">
        <v>366</v>
      </c>
    </row>
    <row r="5" spans="1:16" hidden="1">
      <c r="A5" t="s">
        <v>375</v>
      </c>
      <c r="B5" s="15" t="s">
        <v>35</v>
      </c>
      <c r="C5" s="21">
        <v>2</v>
      </c>
      <c r="D5" s="17" t="s">
        <v>36</v>
      </c>
      <c r="E5" s="3" t="b">
        <v>0</v>
      </c>
      <c r="F5" s="3" t="b">
        <v>0</v>
      </c>
      <c r="G5" s="3" t="b">
        <v>0</v>
      </c>
      <c r="H5" s="3" t="b">
        <v>0</v>
      </c>
      <c r="I5" s="3" t="b">
        <v>0</v>
      </c>
      <c r="J5">
        <f>COUNTIF(E5:I5,(NOT(FALSE)))</f>
        <v>0</v>
      </c>
    </row>
    <row r="6" spans="1:16" hidden="1">
      <c r="A6" s="59"/>
      <c r="C6" s="21" t="s">
        <v>37</v>
      </c>
      <c r="D6" s="45"/>
      <c r="E6" s="33"/>
      <c r="F6" s="33"/>
      <c r="G6" s="33"/>
      <c r="H6" s="33"/>
      <c r="I6" s="33"/>
      <c r="J6" t="s">
        <v>366</v>
      </c>
    </row>
    <row r="7" spans="1:16" ht="25.5" hidden="1">
      <c r="A7" t="s">
        <v>375</v>
      </c>
      <c r="B7" s="15" t="s">
        <v>38</v>
      </c>
      <c r="C7" s="21">
        <v>3</v>
      </c>
      <c r="D7" s="17" t="s">
        <v>39</v>
      </c>
      <c r="E7" s="3" t="b">
        <v>0</v>
      </c>
      <c r="F7" s="3" t="b">
        <v>0</v>
      </c>
      <c r="G7" s="3" t="b">
        <v>0</v>
      </c>
      <c r="H7" s="3" t="b">
        <v>0</v>
      </c>
      <c r="I7" s="3" t="b">
        <v>0</v>
      </c>
      <c r="J7">
        <f t="shared" ref="J7:J8" si="0">COUNTIF(E7:I7,(NOT(FALSE)))</f>
        <v>0</v>
      </c>
    </row>
    <row r="8" spans="1:16" ht="25.5" hidden="1">
      <c r="A8" t="s">
        <v>375</v>
      </c>
      <c r="B8" s="15" t="s">
        <v>40</v>
      </c>
      <c r="C8" s="21">
        <v>4</v>
      </c>
      <c r="D8" s="17" t="s">
        <v>41</v>
      </c>
      <c r="E8" s="3" t="b">
        <v>0</v>
      </c>
      <c r="F8" s="3" t="b">
        <v>0</v>
      </c>
      <c r="G8" s="3" t="b">
        <v>0</v>
      </c>
      <c r="H8" s="3" t="b">
        <v>0</v>
      </c>
      <c r="I8" s="3" t="b">
        <v>0</v>
      </c>
      <c r="J8">
        <f t="shared" si="0"/>
        <v>0</v>
      </c>
    </row>
    <row r="9" spans="1:16" hidden="1">
      <c r="A9" s="59"/>
      <c r="C9" s="21" t="s">
        <v>42</v>
      </c>
      <c r="D9" s="45"/>
      <c r="E9" s="33"/>
      <c r="F9" s="33"/>
      <c r="G9" s="33"/>
      <c r="H9" s="33"/>
      <c r="I9" s="33"/>
      <c r="J9" t="s">
        <v>366</v>
      </c>
    </row>
    <row r="10" spans="1:16" ht="25.5">
      <c r="A10" t="s">
        <v>369</v>
      </c>
      <c r="B10" s="15" t="s">
        <v>43</v>
      </c>
      <c r="C10" s="21">
        <v>5</v>
      </c>
      <c r="D10" s="17" t="s">
        <v>44</v>
      </c>
      <c r="E10" s="3" t="b">
        <v>1</v>
      </c>
      <c r="F10" s="3" t="b">
        <v>0</v>
      </c>
      <c r="G10" s="3" t="b">
        <v>0</v>
      </c>
      <c r="H10" s="3" t="b">
        <v>0</v>
      </c>
      <c r="I10" s="3" t="b">
        <v>0</v>
      </c>
      <c r="J10">
        <f t="shared" ref="J10:J26" si="1">COUNTIF(E10:I10,(NOT(FALSE)))</f>
        <v>1</v>
      </c>
    </row>
    <row r="11" spans="1:16" ht="38.25" hidden="1">
      <c r="A11" t="s">
        <v>370</v>
      </c>
      <c r="B11" s="15" t="s">
        <v>45</v>
      </c>
      <c r="C11" s="21">
        <v>6</v>
      </c>
      <c r="D11" s="17" t="s">
        <v>46</v>
      </c>
      <c r="E11" s="3" t="b">
        <v>1</v>
      </c>
      <c r="F11" s="3" t="b">
        <v>1</v>
      </c>
      <c r="G11" s="3" t="b">
        <v>0</v>
      </c>
      <c r="H11" s="3" t="b">
        <v>0</v>
      </c>
      <c r="I11" s="3" t="b">
        <v>0</v>
      </c>
      <c r="J11">
        <f t="shared" si="1"/>
        <v>2</v>
      </c>
    </row>
    <row r="12" spans="1:16" ht="25.5">
      <c r="A12" t="s">
        <v>369</v>
      </c>
      <c r="B12" s="15" t="s">
        <v>47</v>
      </c>
      <c r="C12" s="21">
        <v>7</v>
      </c>
      <c r="D12" s="17" t="s">
        <v>48</v>
      </c>
      <c r="E12" s="3" t="b">
        <v>1</v>
      </c>
      <c r="F12" s="3" t="b">
        <v>0</v>
      </c>
      <c r="G12" s="3" t="b">
        <v>0</v>
      </c>
      <c r="H12" s="3" t="b">
        <v>0</v>
      </c>
      <c r="I12" s="3" t="b">
        <v>0</v>
      </c>
      <c r="J12">
        <f t="shared" si="1"/>
        <v>1</v>
      </c>
    </row>
    <row r="13" spans="1:16" ht="63.75" hidden="1">
      <c r="A13" t="s">
        <v>371</v>
      </c>
      <c r="B13" s="15" t="s">
        <v>49</v>
      </c>
      <c r="C13" s="21">
        <v>8</v>
      </c>
      <c r="D13" s="17" t="s">
        <v>50</v>
      </c>
      <c r="E13" s="3" t="b">
        <v>0</v>
      </c>
      <c r="F13" s="3" t="b">
        <v>0</v>
      </c>
      <c r="G13" s="3" t="b">
        <v>0</v>
      </c>
      <c r="H13" s="3" t="b">
        <v>0</v>
      </c>
      <c r="I13" s="3" t="b">
        <v>0</v>
      </c>
      <c r="J13">
        <f t="shared" si="1"/>
        <v>0</v>
      </c>
    </row>
    <row r="14" spans="1:16" ht="18" hidden="1" customHeight="1">
      <c r="A14" t="s">
        <v>372</v>
      </c>
      <c r="B14" s="15" t="s">
        <v>51</v>
      </c>
      <c r="C14" s="21">
        <v>9</v>
      </c>
      <c r="D14" s="17" t="s">
        <v>52</v>
      </c>
      <c r="E14" s="3" t="b">
        <v>0</v>
      </c>
      <c r="F14" s="3" t="b">
        <v>0</v>
      </c>
      <c r="G14" s="3" t="b">
        <v>0</v>
      </c>
      <c r="H14" s="3" t="b">
        <v>0</v>
      </c>
      <c r="I14" s="3" t="b">
        <v>0</v>
      </c>
      <c r="J14">
        <f t="shared" si="1"/>
        <v>0</v>
      </c>
    </row>
    <row r="15" spans="1:16" ht="18" hidden="1" customHeight="1">
      <c r="A15" t="s">
        <v>372</v>
      </c>
      <c r="B15" s="15" t="s">
        <v>53</v>
      </c>
      <c r="C15" s="21" t="s">
        <v>54</v>
      </c>
      <c r="D15" s="17" t="s">
        <v>55</v>
      </c>
      <c r="E15" s="3" t="b">
        <v>0</v>
      </c>
      <c r="F15" s="3" t="b">
        <v>0</v>
      </c>
      <c r="G15" s="3" t="b">
        <v>0</v>
      </c>
      <c r="H15" s="3" t="b">
        <v>0</v>
      </c>
      <c r="I15" s="3" t="b">
        <v>0</v>
      </c>
      <c r="J15">
        <f t="shared" si="1"/>
        <v>0</v>
      </c>
    </row>
    <row r="16" spans="1:16" ht="38.25" hidden="1" customHeight="1">
      <c r="A16" t="s">
        <v>374</v>
      </c>
      <c r="B16" s="18"/>
      <c r="C16" s="21" t="s">
        <v>56</v>
      </c>
      <c r="D16" s="17" t="s">
        <v>57</v>
      </c>
      <c r="E16" s="3" t="b">
        <v>0</v>
      </c>
      <c r="F16" s="3" t="b">
        <v>0</v>
      </c>
      <c r="G16" s="3" t="b">
        <v>0</v>
      </c>
      <c r="H16" s="3" t="b">
        <v>0</v>
      </c>
      <c r="I16" s="3" t="b">
        <v>0</v>
      </c>
      <c r="J16">
        <f t="shared" si="1"/>
        <v>0</v>
      </c>
    </row>
    <row r="17" spans="1:10" ht="51" hidden="1">
      <c r="A17" t="s">
        <v>373</v>
      </c>
      <c r="B17" s="15" t="s">
        <v>58</v>
      </c>
      <c r="C17" s="21">
        <v>11</v>
      </c>
      <c r="D17" s="17" t="s">
        <v>59</v>
      </c>
      <c r="E17" s="3" t="b">
        <v>0</v>
      </c>
      <c r="F17" s="3" t="b">
        <v>0</v>
      </c>
      <c r="G17" s="3" t="b">
        <v>0</v>
      </c>
      <c r="H17" s="3" t="b">
        <v>0</v>
      </c>
      <c r="I17" s="3" t="b">
        <v>0</v>
      </c>
      <c r="J17">
        <f t="shared" si="1"/>
        <v>0</v>
      </c>
    </row>
    <row r="18" spans="1:10" ht="38.25" hidden="1">
      <c r="A18" t="s">
        <v>373</v>
      </c>
      <c r="B18" s="15" t="s">
        <v>60</v>
      </c>
      <c r="C18" s="21">
        <v>12</v>
      </c>
      <c r="D18" s="17" t="s">
        <v>61</v>
      </c>
      <c r="E18" s="3" t="b">
        <v>0</v>
      </c>
      <c r="F18" s="3" t="b">
        <v>0</v>
      </c>
      <c r="G18" s="3" t="b">
        <v>0</v>
      </c>
      <c r="H18" s="3" t="b">
        <v>0</v>
      </c>
      <c r="I18" s="3" t="b">
        <v>0</v>
      </c>
      <c r="J18">
        <f t="shared" si="1"/>
        <v>0</v>
      </c>
    </row>
    <row r="19" spans="1:10" ht="38.25" hidden="1">
      <c r="A19" t="s">
        <v>374</v>
      </c>
      <c r="B19" s="15" t="s">
        <v>62</v>
      </c>
      <c r="C19" s="21" t="s">
        <v>63</v>
      </c>
      <c r="D19" s="17" t="s">
        <v>64</v>
      </c>
      <c r="E19" s="3" t="b">
        <v>0</v>
      </c>
      <c r="F19" s="3" t="b">
        <v>0</v>
      </c>
      <c r="G19" s="3" t="b">
        <v>0</v>
      </c>
      <c r="H19" s="3" t="b">
        <v>0</v>
      </c>
      <c r="I19" s="3" t="b">
        <v>0</v>
      </c>
      <c r="J19">
        <f t="shared" si="1"/>
        <v>0</v>
      </c>
    </row>
    <row r="20" spans="1:10" ht="38.25" hidden="1" customHeight="1">
      <c r="A20" t="s">
        <v>374</v>
      </c>
      <c r="B20" s="15" t="s">
        <v>65</v>
      </c>
      <c r="C20" s="21" t="s">
        <v>66</v>
      </c>
      <c r="D20" s="17" t="s">
        <v>67</v>
      </c>
      <c r="E20" s="3" t="b">
        <v>0</v>
      </c>
      <c r="F20" s="3" t="b">
        <v>0</v>
      </c>
      <c r="G20" s="3" t="b">
        <v>0</v>
      </c>
      <c r="H20" s="3" t="b">
        <v>0</v>
      </c>
      <c r="I20" s="3" t="b">
        <v>0</v>
      </c>
      <c r="J20">
        <f t="shared" si="1"/>
        <v>0</v>
      </c>
    </row>
    <row r="21" spans="1:10" ht="25.5" hidden="1" customHeight="1">
      <c r="A21" t="s">
        <v>374</v>
      </c>
      <c r="B21" s="15" t="s">
        <v>68</v>
      </c>
      <c r="C21" s="21" t="s">
        <v>69</v>
      </c>
      <c r="D21" s="17" t="s">
        <v>70</v>
      </c>
      <c r="E21" s="3" t="b">
        <v>0</v>
      </c>
      <c r="F21" s="3" t="b">
        <v>0</v>
      </c>
      <c r="G21" s="3" t="b">
        <v>0</v>
      </c>
      <c r="H21" s="3" t="b">
        <v>0</v>
      </c>
      <c r="I21" s="3" t="b">
        <v>0</v>
      </c>
      <c r="J21">
        <f t="shared" si="1"/>
        <v>0</v>
      </c>
    </row>
    <row r="22" spans="1:10" ht="51" hidden="1" customHeight="1">
      <c r="A22" t="s">
        <v>374</v>
      </c>
      <c r="B22" s="18"/>
      <c r="C22" s="21" t="s">
        <v>71</v>
      </c>
      <c r="D22" s="17" t="s">
        <v>72</v>
      </c>
      <c r="E22" s="3" t="b">
        <v>0</v>
      </c>
      <c r="F22" s="3" t="b">
        <v>0</v>
      </c>
      <c r="G22" s="3" t="b">
        <v>0</v>
      </c>
      <c r="H22" s="3" t="b">
        <v>0</v>
      </c>
      <c r="I22" s="3" t="b">
        <v>0</v>
      </c>
      <c r="J22">
        <f t="shared" si="1"/>
        <v>0</v>
      </c>
    </row>
    <row r="23" spans="1:10" ht="25.5" hidden="1" customHeight="1">
      <c r="A23" t="s">
        <v>374</v>
      </c>
      <c r="B23" s="18"/>
      <c r="C23" s="21" t="s">
        <v>73</v>
      </c>
      <c r="D23" s="17" t="s">
        <v>74</v>
      </c>
      <c r="E23" s="3" t="b">
        <v>0</v>
      </c>
      <c r="F23" s="3" t="b">
        <v>0</v>
      </c>
      <c r="G23" s="3" t="b">
        <v>0</v>
      </c>
      <c r="H23" s="3" t="b">
        <v>0</v>
      </c>
      <c r="I23" s="3" t="b">
        <v>0</v>
      </c>
      <c r="J23">
        <f t="shared" si="1"/>
        <v>0</v>
      </c>
    </row>
    <row r="24" spans="1:10" ht="25.5" hidden="1" customHeight="1">
      <c r="A24" t="s">
        <v>374</v>
      </c>
      <c r="B24" s="15" t="s">
        <v>65</v>
      </c>
      <c r="C24" s="21" t="s">
        <v>75</v>
      </c>
      <c r="D24" s="17" t="s">
        <v>76</v>
      </c>
      <c r="E24" s="3" t="b">
        <v>0</v>
      </c>
      <c r="F24" s="3" t="b">
        <v>0</v>
      </c>
      <c r="G24" s="3" t="b">
        <v>0</v>
      </c>
      <c r="H24" s="3" t="b">
        <v>0</v>
      </c>
      <c r="I24" s="3" t="b">
        <v>0</v>
      </c>
      <c r="J24">
        <f t="shared" si="1"/>
        <v>0</v>
      </c>
    </row>
    <row r="25" spans="1:10" ht="38.25" hidden="1">
      <c r="A25" t="s">
        <v>373</v>
      </c>
      <c r="B25" s="15" t="s">
        <v>77</v>
      </c>
      <c r="C25" s="21">
        <v>14</v>
      </c>
      <c r="D25" s="17" t="s">
        <v>78</v>
      </c>
      <c r="E25" s="3" t="b">
        <v>0</v>
      </c>
      <c r="F25" s="3" t="b">
        <v>0</v>
      </c>
      <c r="G25" s="3" t="b">
        <v>0</v>
      </c>
      <c r="H25" s="3" t="b">
        <v>0</v>
      </c>
      <c r="I25" s="3" t="b">
        <v>0</v>
      </c>
      <c r="J25">
        <f t="shared" si="1"/>
        <v>0</v>
      </c>
    </row>
    <row r="26" spans="1:10" ht="25.5" hidden="1">
      <c r="A26" t="s">
        <v>373</v>
      </c>
      <c r="B26" s="15" t="s">
        <v>79</v>
      </c>
      <c r="C26" s="21">
        <v>15</v>
      </c>
      <c r="D26" s="17" t="s">
        <v>80</v>
      </c>
      <c r="E26" s="3" t="b">
        <v>0</v>
      </c>
      <c r="F26" s="3" t="b">
        <v>0</v>
      </c>
      <c r="G26" s="3" t="b">
        <v>0</v>
      </c>
      <c r="H26" s="3" t="b">
        <v>0</v>
      </c>
      <c r="I26" s="3" t="b">
        <v>0</v>
      </c>
      <c r="J26">
        <f t="shared" si="1"/>
        <v>0</v>
      </c>
    </row>
    <row r="27" spans="1:10" hidden="1">
      <c r="A27" s="59"/>
      <c r="C27" s="21" t="s">
        <v>1</v>
      </c>
      <c r="D27" s="44"/>
      <c r="E27" s="33"/>
      <c r="F27" s="33"/>
      <c r="G27" s="33"/>
      <c r="H27" s="33"/>
      <c r="I27" s="33"/>
      <c r="J27" t="s">
        <v>366</v>
      </c>
    </row>
    <row r="28" spans="1:10" ht="38.25" hidden="1">
      <c r="A28" t="s">
        <v>374</v>
      </c>
      <c r="B28" s="15" t="s">
        <v>81</v>
      </c>
      <c r="C28" s="21" t="s">
        <v>82</v>
      </c>
      <c r="D28" s="17" t="s">
        <v>83</v>
      </c>
      <c r="E28" s="3" t="b">
        <v>0</v>
      </c>
      <c r="F28" s="3" t="b">
        <v>0</v>
      </c>
      <c r="G28" s="3" t="b">
        <v>0</v>
      </c>
      <c r="H28" s="3" t="b">
        <v>0</v>
      </c>
      <c r="I28" s="3" t="b">
        <v>0</v>
      </c>
      <c r="J28">
        <f t="shared" ref="J28:J38" si="2">COUNTIF(E28:I28,(NOT(FALSE)))</f>
        <v>0</v>
      </c>
    </row>
    <row r="29" spans="1:10" ht="25.5" hidden="1" customHeight="1">
      <c r="A29" t="s">
        <v>374</v>
      </c>
      <c r="B29" s="15" t="s">
        <v>68</v>
      </c>
      <c r="C29" s="21" t="s">
        <v>84</v>
      </c>
      <c r="D29" s="17" t="s">
        <v>85</v>
      </c>
      <c r="E29" s="3" t="b">
        <v>0</v>
      </c>
      <c r="F29" s="3" t="b">
        <v>0</v>
      </c>
      <c r="G29" s="3" t="b">
        <v>0</v>
      </c>
      <c r="H29" s="3" t="b">
        <v>0</v>
      </c>
      <c r="I29" s="3" t="b">
        <v>0</v>
      </c>
      <c r="J29">
        <f t="shared" si="2"/>
        <v>0</v>
      </c>
    </row>
    <row r="30" spans="1:10" ht="25.5" hidden="1">
      <c r="A30" t="s">
        <v>374</v>
      </c>
      <c r="B30" s="15" t="s">
        <v>86</v>
      </c>
      <c r="C30" s="21">
        <v>17</v>
      </c>
      <c r="D30" s="17" t="s">
        <v>87</v>
      </c>
      <c r="E30" s="3" t="b">
        <v>0</v>
      </c>
      <c r="F30" s="3" t="b">
        <v>0</v>
      </c>
      <c r="G30" s="3" t="b">
        <v>0</v>
      </c>
      <c r="H30" s="3" t="b">
        <v>0</v>
      </c>
      <c r="I30" s="3" t="b">
        <v>0</v>
      </c>
      <c r="J30">
        <f t="shared" si="2"/>
        <v>0</v>
      </c>
    </row>
    <row r="31" spans="1:10" ht="38.25" hidden="1">
      <c r="A31" t="s">
        <v>373</v>
      </c>
      <c r="B31" s="15" t="s">
        <v>88</v>
      </c>
      <c r="C31" s="21">
        <v>18</v>
      </c>
      <c r="D31" s="17" t="s">
        <v>89</v>
      </c>
      <c r="E31" s="3" t="b">
        <v>0</v>
      </c>
      <c r="F31" s="3" t="b">
        <v>0</v>
      </c>
      <c r="G31" s="3" t="b">
        <v>0</v>
      </c>
      <c r="H31" s="3" t="b">
        <v>0</v>
      </c>
      <c r="I31" s="3" t="b">
        <v>0</v>
      </c>
      <c r="J31">
        <f t="shared" si="2"/>
        <v>0</v>
      </c>
    </row>
    <row r="32" spans="1:10" ht="51" hidden="1">
      <c r="A32" t="s">
        <v>374</v>
      </c>
      <c r="B32" s="15" t="s">
        <v>90</v>
      </c>
      <c r="C32" s="21">
        <v>19</v>
      </c>
      <c r="D32" s="17" t="s">
        <v>91</v>
      </c>
      <c r="E32" s="3" t="b">
        <v>0</v>
      </c>
      <c r="F32" s="3" t="b">
        <v>0</v>
      </c>
      <c r="G32" s="3" t="b">
        <v>0</v>
      </c>
      <c r="H32" s="3" t="b">
        <v>0</v>
      </c>
      <c r="I32" s="3" t="b">
        <v>0</v>
      </c>
      <c r="J32">
        <f t="shared" si="2"/>
        <v>0</v>
      </c>
    </row>
    <row r="33" spans="1:11" ht="25.5" hidden="1">
      <c r="A33" t="s">
        <v>374</v>
      </c>
      <c r="B33" s="15" t="s">
        <v>92</v>
      </c>
      <c r="C33" s="21" t="s">
        <v>93</v>
      </c>
      <c r="D33" s="17" t="s">
        <v>94</v>
      </c>
      <c r="E33" s="3" t="b">
        <v>0</v>
      </c>
      <c r="F33" s="3" t="b">
        <v>0</v>
      </c>
      <c r="G33" s="3" t="b">
        <v>0</v>
      </c>
      <c r="H33" s="3" t="b">
        <v>0</v>
      </c>
      <c r="I33" s="3" t="b">
        <v>0</v>
      </c>
      <c r="J33">
        <f t="shared" si="2"/>
        <v>0</v>
      </c>
    </row>
    <row r="34" spans="1:11" ht="51" hidden="1" customHeight="1">
      <c r="A34" t="s">
        <v>374</v>
      </c>
      <c r="B34" s="18"/>
      <c r="C34" s="21" t="s">
        <v>95</v>
      </c>
      <c r="D34" s="17" t="s">
        <v>96</v>
      </c>
      <c r="E34" s="3" t="b">
        <v>0</v>
      </c>
      <c r="F34" s="3" t="b">
        <v>0</v>
      </c>
      <c r="G34" s="3" t="b">
        <v>0</v>
      </c>
      <c r="H34" s="3" t="b">
        <v>0</v>
      </c>
      <c r="I34" s="3" t="b">
        <v>0</v>
      </c>
      <c r="J34">
        <f t="shared" si="2"/>
        <v>0</v>
      </c>
    </row>
    <row r="35" spans="1:11" ht="25.5" hidden="1" customHeight="1">
      <c r="A35" t="s">
        <v>374</v>
      </c>
      <c r="B35" s="15" t="s">
        <v>68</v>
      </c>
      <c r="C35" s="21" t="s">
        <v>97</v>
      </c>
      <c r="D35" s="17" t="s">
        <v>98</v>
      </c>
      <c r="E35" s="3" t="b">
        <v>0</v>
      </c>
      <c r="F35" s="3" t="b">
        <v>0</v>
      </c>
      <c r="G35" s="3" t="b">
        <v>0</v>
      </c>
      <c r="H35" s="3" t="b">
        <v>0</v>
      </c>
      <c r="I35" s="3" t="b">
        <v>0</v>
      </c>
      <c r="J35">
        <f t="shared" si="2"/>
        <v>0</v>
      </c>
    </row>
    <row r="36" spans="1:11" ht="25.5" hidden="1" customHeight="1">
      <c r="A36" t="s">
        <v>374</v>
      </c>
      <c r="B36" s="15" t="s">
        <v>68</v>
      </c>
      <c r="C36" s="21" t="s">
        <v>99</v>
      </c>
      <c r="D36" s="17" t="s">
        <v>100</v>
      </c>
      <c r="E36" s="3" t="b">
        <v>0</v>
      </c>
      <c r="F36" s="3" t="b">
        <v>0</v>
      </c>
      <c r="G36" s="3" t="b">
        <v>0</v>
      </c>
      <c r="H36" s="3" t="b">
        <v>0</v>
      </c>
      <c r="I36" s="3" t="b">
        <v>0</v>
      </c>
      <c r="J36">
        <f t="shared" si="2"/>
        <v>0</v>
      </c>
    </row>
    <row r="37" spans="1:11" ht="25.5" hidden="1">
      <c r="A37" t="s">
        <v>373</v>
      </c>
      <c r="B37" s="15" t="s">
        <v>101</v>
      </c>
      <c r="C37" s="21">
        <v>21</v>
      </c>
      <c r="D37" s="17" t="s">
        <v>102</v>
      </c>
      <c r="E37" s="3" t="b">
        <v>0</v>
      </c>
      <c r="F37" s="3" t="b">
        <v>0</v>
      </c>
      <c r="G37" s="3" t="b">
        <v>0</v>
      </c>
      <c r="H37" s="3" t="b">
        <v>0</v>
      </c>
      <c r="I37" s="3" t="b">
        <v>0</v>
      </c>
      <c r="J37">
        <f t="shared" si="2"/>
        <v>0</v>
      </c>
    </row>
    <row r="38" spans="1:11" ht="25.5" hidden="1">
      <c r="A38" t="s">
        <v>373</v>
      </c>
      <c r="B38" s="15" t="s">
        <v>103</v>
      </c>
      <c r="C38" s="21">
        <v>22</v>
      </c>
      <c r="D38" s="17" t="s">
        <v>104</v>
      </c>
      <c r="E38" s="3" t="b">
        <v>0</v>
      </c>
      <c r="F38" s="3" t="b">
        <v>0</v>
      </c>
      <c r="G38" s="3" t="b">
        <v>0</v>
      </c>
      <c r="H38" s="3" t="b">
        <v>0</v>
      </c>
      <c r="I38" s="3" t="b">
        <v>0</v>
      </c>
      <c r="J38">
        <f t="shared" si="2"/>
        <v>0</v>
      </c>
    </row>
    <row r="39" spans="1:11" hidden="1">
      <c r="A39" s="59"/>
      <c r="C39" s="21" t="s">
        <v>105</v>
      </c>
      <c r="D39" s="44"/>
      <c r="E39" s="33"/>
      <c r="F39" s="33"/>
      <c r="G39" s="33"/>
      <c r="H39" s="33"/>
      <c r="I39" s="33"/>
      <c r="J39" t="s">
        <v>366</v>
      </c>
    </row>
    <row r="40" spans="1:11" ht="25.5" hidden="1">
      <c r="A40" t="s">
        <v>375</v>
      </c>
      <c r="B40" s="15" t="s">
        <v>106</v>
      </c>
      <c r="C40" s="21" t="s">
        <v>107</v>
      </c>
      <c r="D40" s="17" t="s">
        <v>108</v>
      </c>
      <c r="E40" s="3" t="b">
        <v>0</v>
      </c>
      <c r="F40" s="3" t="b">
        <v>0</v>
      </c>
      <c r="G40" s="3" t="b">
        <v>0</v>
      </c>
      <c r="H40" s="3" t="b">
        <v>0</v>
      </c>
      <c r="I40" s="3" t="b">
        <v>0</v>
      </c>
      <c r="J40">
        <f t="shared" ref="J40:J43" si="3">COUNTIF(E40:I40,(NOT(FALSE)))</f>
        <v>0</v>
      </c>
    </row>
    <row r="41" spans="1:11" ht="15" hidden="1" customHeight="1">
      <c r="A41" t="s">
        <v>375</v>
      </c>
      <c r="B41" s="18"/>
      <c r="C41" s="21" t="s">
        <v>109</v>
      </c>
      <c r="D41" s="17" t="s">
        <v>110</v>
      </c>
      <c r="E41" s="3" t="b">
        <v>0</v>
      </c>
      <c r="F41" s="3" t="b">
        <v>0</v>
      </c>
      <c r="G41" s="3" t="b">
        <v>0</v>
      </c>
      <c r="H41" s="3" t="b">
        <v>0</v>
      </c>
      <c r="I41" s="3" t="b">
        <v>0</v>
      </c>
      <c r="J41">
        <f t="shared" si="3"/>
        <v>0</v>
      </c>
    </row>
    <row r="42" spans="1:11" ht="15" hidden="1" customHeight="1">
      <c r="A42" t="s">
        <v>375</v>
      </c>
      <c r="B42" s="18"/>
      <c r="C42" s="21" t="s">
        <v>111</v>
      </c>
      <c r="D42" s="17" t="s">
        <v>112</v>
      </c>
      <c r="E42" s="3" t="b">
        <v>0</v>
      </c>
      <c r="F42" s="3" t="b">
        <v>0</v>
      </c>
      <c r="G42" s="3" t="b">
        <v>0</v>
      </c>
      <c r="H42" s="3" t="b">
        <v>0</v>
      </c>
      <c r="I42" s="3" t="b">
        <v>0</v>
      </c>
      <c r="J42">
        <f t="shared" si="3"/>
        <v>0</v>
      </c>
    </row>
    <row r="43" spans="1:11" ht="25.5" hidden="1" customHeight="1">
      <c r="A43" t="s">
        <v>375</v>
      </c>
      <c r="B43" s="18"/>
      <c r="C43" s="21" t="s">
        <v>113</v>
      </c>
      <c r="D43" s="17" t="s">
        <v>114</v>
      </c>
      <c r="E43" s="3" t="b">
        <v>0</v>
      </c>
      <c r="F43" s="3" t="b">
        <v>0</v>
      </c>
      <c r="G43" s="3" t="b">
        <v>0</v>
      </c>
      <c r="H43" s="3" t="b">
        <v>0</v>
      </c>
      <c r="I43" s="3" t="b">
        <v>0</v>
      </c>
      <c r="J43">
        <f t="shared" si="3"/>
        <v>0</v>
      </c>
    </row>
    <row r="44" spans="1:11" hidden="1">
      <c r="A44" s="59"/>
      <c r="C44" s="21" t="s">
        <v>115</v>
      </c>
      <c r="D44" s="44"/>
      <c r="E44" s="33"/>
      <c r="F44" s="33"/>
      <c r="G44" s="33"/>
      <c r="H44" s="33"/>
      <c r="I44" s="33"/>
      <c r="J44" t="s">
        <v>366</v>
      </c>
    </row>
    <row r="45" spans="1:11" ht="25.5" hidden="1">
      <c r="A45" t="s">
        <v>368</v>
      </c>
      <c r="B45" s="15" t="s">
        <v>116</v>
      </c>
      <c r="C45" s="21" t="s">
        <v>117</v>
      </c>
      <c r="D45" s="17" t="s">
        <v>118</v>
      </c>
      <c r="E45" s="3" t="b">
        <v>1</v>
      </c>
      <c r="F45" s="3" t="b">
        <v>0</v>
      </c>
      <c r="G45" s="3" t="b">
        <v>1</v>
      </c>
      <c r="H45" s="3" t="b">
        <v>0</v>
      </c>
      <c r="I45" s="3" t="b">
        <v>0</v>
      </c>
      <c r="J45">
        <f t="shared" ref="J45:J47" si="4">COUNTIF(E45:I45,(NOT(FALSE)))</f>
        <v>2</v>
      </c>
      <c r="K45" t="s">
        <v>387</v>
      </c>
    </row>
    <row r="46" spans="1:11" ht="25.5" hidden="1">
      <c r="A46" t="s">
        <v>368</v>
      </c>
      <c r="B46" s="15" t="s">
        <v>119</v>
      </c>
      <c r="C46" s="21" t="s">
        <v>120</v>
      </c>
      <c r="D46" s="17" t="s">
        <v>121</v>
      </c>
      <c r="E46" s="3" t="b">
        <v>1</v>
      </c>
      <c r="F46" s="3" t="b">
        <v>0</v>
      </c>
      <c r="G46" s="3" t="b">
        <v>1</v>
      </c>
      <c r="H46" s="3" t="b">
        <v>0</v>
      </c>
      <c r="I46" s="3" t="b">
        <v>0</v>
      </c>
      <c r="J46">
        <f t="shared" si="4"/>
        <v>2</v>
      </c>
    </row>
    <row r="47" spans="1:11" ht="25.5" hidden="1" customHeight="1">
      <c r="A47" t="s">
        <v>368</v>
      </c>
      <c r="B47" s="18"/>
      <c r="C47" s="21" t="s">
        <v>122</v>
      </c>
      <c r="D47" s="17" t="s">
        <v>123</v>
      </c>
      <c r="E47" s="3" t="b">
        <v>1</v>
      </c>
      <c r="F47" s="3" t="b">
        <v>0</v>
      </c>
      <c r="G47" s="3" t="b">
        <v>1</v>
      </c>
      <c r="H47" s="3" t="b">
        <v>0</v>
      </c>
      <c r="I47" s="3" t="b">
        <v>1</v>
      </c>
      <c r="J47">
        <f t="shared" si="4"/>
        <v>3</v>
      </c>
    </row>
    <row r="48" spans="1:11" ht="25.5" hidden="1">
      <c r="A48" t="s">
        <v>368</v>
      </c>
      <c r="B48" s="15" t="s">
        <v>124</v>
      </c>
      <c r="C48" s="21">
        <v>25</v>
      </c>
      <c r="D48" s="17" t="s">
        <v>125</v>
      </c>
      <c r="E48" s="3" t="b">
        <v>1</v>
      </c>
      <c r="F48" s="3" t="b">
        <v>0</v>
      </c>
      <c r="G48" s="3" t="b">
        <v>1</v>
      </c>
      <c r="H48" s="3" t="b">
        <v>0</v>
      </c>
      <c r="I48" s="3" t="b">
        <v>0</v>
      </c>
      <c r="J48">
        <f t="shared" ref="J48:J50" si="5">COUNTIF(E48:I48,(NOT(FALSE)))</f>
        <v>2</v>
      </c>
      <c r="K48" t="s">
        <v>365</v>
      </c>
    </row>
    <row r="49" spans="1:11" ht="38.25" hidden="1">
      <c r="A49" t="s">
        <v>375</v>
      </c>
      <c r="B49" s="15" t="s">
        <v>126</v>
      </c>
      <c r="C49" s="21">
        <v>26</v>
      </c>
      <c r="D49" s="17" t="s">
        <v>127</v>
      </c>
      <c r="E49" s="3" t="b">
        <v>0</v>
      </c>
      <c r="F49" s="3" t="b">
        <v>0</v>
      </c>
      <c r="G49" s="3" t="b">
        <v>0</v>
      </c>
      <c r="H49" s="3" t="b">
        <v>0</v>
      </c>
      <c r="I49" s="3" t="b">
        <v>0</v>
      </c>
      <c r="J49">
        <f t="shared" si="5"/>
        <v>0</v>
      </c>
    </row>
    <row r="50" spans="1:11" ht="51" hidden="1">
      <c r="A50" t="s">
        <v>376</v>
      </c>
      <c r="B50" s="15" t="s">
        <v>128</v>
      </c>
      <c r="C50" s="21">
        <v>27</v>
      </c>
      <c r="D50" s="17" t="s">
        <v>129</v>
      </c>
      <c r="E50" s="3" t="b">
        <v>0</v>
      </c>
      <c r="F50" s="3" t="b">
        <v>0</v>
      </c>
      <c r="G50" s="3" t="b">
        <v>0</v>
      </c>
      <c r="H50" s="3" t="b">
        <v>0</v>
      </c>
      <c r="I50" s="3" t="b">
        <v>0</v>
      </c>
      <c r="J50">
        <f t="shared" si="5"/>
        <v>0</v>
      </c>
    </row>
    <row r="51" spans="1:11" hidden="1">
      <c r="A51" s="59"/>
      <c r="C51" s="22" t="s">
        <v>135</v>
      </c>
      <c r="D51" s="46" t="s">
        <v>347</v>
      </c>
      <c r="E51" s="33"/>
      <c r="F51" s="33"/>
      <c r="G51" s="33"/>
      <c r="H51" s="33"/>
      <c r="I51" s="33"/>
      <c r="J51" t="s">
        <v>366</v>
      </c>
    </row>
    <row r="52" spans="1:11" hidden="1">
      <c r="A52" t="s">
        <v>376</v>
      </c>
      <c r="B52" s="15" t="s">
        <v>33</v>
      </c>
      <c r="C52" s="22">
        <v>1</v>
      </c>
      <c r="D52" s="17" t="s">
        <v>136</v>
      </c>
      <c r="E52" s="3" t="b">
        <v>0</v>
      </c>
      <c r="F52" s="3" t="b">
        <v>0</v>
      </c>
      <c r="G52" s="3" t="b">
        <v>0</v>
      </c>
      <c r="H52" s="3" t="b">
        <v>0</v>
      </c>
      <c r="I52" s="3" t="b">
        <v>0</v>
      </c>
      <c r="J52">
        <f>COUNTIF(E52:I52,(NOT(FALSE)))</f>
        <v>0</v>
      </c>
    </row>
    <row r="53" spans="1:11" hidden="1">
      <c r="A53" s="59"/>
      <c r="C53" s="22" t="s">
        <v>137</v>
      </c>
      <c r="D53" s="18"/>
      <c r="E53" s="33"/>
      <c r="F53" s="33"/>
      <c r="G53" s="33"/>
      <c r="H53" s="33"/>
      <c r="I53" s="33"/>
      <c r="J53" t="s">
        <v>366</v>
      </c>
    </row>
    <row r="54" spans="1:11" ht="25.5" hidden="1">
      <c r="A54" t="s">
        <v>375</v>
      </c>
      <c r="B54" s="15" t="s">
        <v>40</v>
      </c>
      <c r="C54" s="22">
        <v>2</v>
      </c>
      <c r="D54" s="17" t="s">
        <v>138</v>
      </c>
      <c r="E54" s="3" t="b">
        <v>0</v>
      </c>
      <c r="F54" s="3" t="b">
        <v>0</v>
      </c>
      <c r="G54" s="3" t="b">
        <v>0</v>
      </c>
      <c r="H54" s="3" t="b">
        <v>0</v>
      </c>
      <c r="I54" s="3" t="b">
        <v>0</v>
      </c>
      <c r="J54">
        <f>COUNTIF(E54:I54,(NOT(FALSE)))</f>
        <v>0</v>
      </c>
      <c r="K54" t="s">
        <v>0</v>
      </c>
    </row>
    <row r="55" spans="1:11" hidden="1">
      <c r="A55" s="59"/>
      <c r="C55" s="22" t="s">
        <v>139</v>
      </c>
      <c r="D55" s="44"/>
      <c r="E55" s="33"/>
      <c r="F55" s="33"/>
      <c r="G55" s="33"/>
      <c r="H55" s="33"/>
      <c r="I55" s="33"/>
      <c r="J55" t="s">
        <v>366</v>
      </c>
    </row>
    <row r="56" spans="1:11" ht="25.5" hidden="1">
      <c r="A56" t="s">
        <v>375</v>
      </c>
      <c r="B56" s="15" t="s">
        <v>140</v>
      </c>
      <c r="C56" s="22">
        <v>3</v>
      </c>
      <c r="D56" s="17" t="s">
        <v>141</v>
      </c>
      <c r="E56" s="3" t="b">
        <v>0</v>
      </c>
      <c r="F56" s="3" t="b">
        <v>0</v>
      </c>
      <c r="G56" s="3" t="b">
        <v>0</v>
      </c>
      <c r="H56" s="3" t="b">
        <v>0</v>
      </c>
      <c r="I56" s="3" t="b">
        <v>0</v>
      </c>
      <c r="J56">
        <f t="shared" ref="J56:J59" si="6">COUNTIF(E56:I56,(NOT(FALSE)))</f>
        <v>0</v>
      </c>
      <c r="K56" t="s">
        <v>0</v>
      </c>
    </row>
    <row r="57" spans="1:11" ht="38.25" hidden="1">
      <c r="A57" t="s">
        <v>370</v>
      </c>
      <c r="B57" s="15" t="s">
        <v>142</v>
      </c>
      <c r="C57" s="22">
        <v>4</v>
      </c>
      <c r="D57" s="17" t="s">
        <v>143</v>
      </c>
      <c r="E57" s="3" t="b">
        <v>1</v>
      </c>
      <c r="F57" s="3" t="b">
        <v>1</v>
      </c>
      <c r="G57" s="3" t="b">
        <v>0</v>
      </c>
      <c r="H57" s="3" t="b">
        <v>0</v>
      </c>
      <c r="I57" s="3" t="b">
        <v>0</v>
      </c>
      <c r="J57">
        <f t="shared" si="6"/>
        <v>2</v>
      </c>
    </row>
    <row r="58" spans="1:11" ht="25.5" hidden="1">
      <c r="A58" t="s">
        <v>373</v>
      </c>
      <c r="B58" s="15" t="s">
        <v>144</v>
      </c>
      <c r="C58" s="22">
        <v>5</v>
      </c>
      <c r="D58" s="17" t="s">
        <v>145</v>
      </c>
      <c r="E58" s="3" t="b">
        <v>0</v>
      </c>
      <c r="F58" s="3" t="b">
        <v>0</v>
      </c>
      <c r="G58" s="3" t="b">
        <v>0</v>
      </c>
      <c r="H58" s="3" t="b">
        <v>0</v>
      </c>
      <c r="I58" s="3" t="b">
        <v>0</v>
      </c>
      <c r="J58">
        <f t="shared" ref="J58" si="7">COUNTIF(E58:I58,(NOT(FALSE)))</f>
        <v>0</v>
      </c>
    </row>
    <row r="59" spans="1:11" ht="25.5" hidden="1">
      <c r="A59" t="s">
        <v>374</v>
      </c>
      <c r="B59" s="15" t="s">
        <v>146</v>
      </c>
      <c r="C59" s="22">
        <v>6</v>
      </c>
      <c r="D59" s="17" t="s">
        <v>147</v>
      </c>
      <c r="E59" s="3" t="b">
        <v>0</v>
      </c>
      <c r="F59" s="3" t="b">
        <v>0</v>
      </c>
      <c r="G59" s="3" t="b">
        <v>0</v>
      </c>
      <c r="H59" s="3" t="b">
        <v>0</v>
      </c>
      <c r="I59" s="3" t="b">
        <v>0</v>
      </c>
      <c r="J59">
        <f t="shared" si="6"/>
        <v>0</v>
      </c>
    </row>
    <row r="60" spans="1:11" hidden="1">
      <c r="A60" s="59"/>
      <c r="C60" s="22" t="s">
        <v>148</v>
      </c>
      <c r="D60" s="44"/>
      <c r="E60" s="33"/>
      <c r="F60" s="33"/>
      <c r="G60" s="33"/>
      <c r="H60" s="33"/>
      <c r="I60" s="33"/>
      <c r="J60" t="s">
        <v>366</v>
      </c>
    </row>
    <row r="61" spans="1:11" ht="25.5" hidden="1">
      <c r="A61" t="s">
        <v>374</v>
      </c>
      <c r="B61" s="15" t="s">
        <v>149</v>
      </c>
      <c r="C61" s="22">
        <v>7</v>
      </c>
      <c r="D61" s="17" t="s">
        <v>150</v>
      </c>
      <c r="E61" s="3" t="b">
        <v>0</v>
      </c>
      <c r="F61" s="3" t="b">
        <v>0</v>
      </c>
      <c r="G61" s="3" t="b">
        <v>0</v>
      </c>
      <c r="H61" s="3" t="b">
        <v>0</v>
      </c>
      <c r="I61" s="3" t="b">
        <v>0</v>
      </c>
      <c r="J61">
        <f t="shared" ref="J61:J62" si="8">COUNTIF(E61:I61,(NOT(FALSE)))</f>
        <v>0</v>
      </c>
    </row>
    <row r="62" spans="1:11" ht="63.75" hidden="1">
      <c r="A62" t="s">
        <v>374</v>
      </c>
      <c r="B62" s="15" t="s">
        <v>151</v>
      </c>
      <c r="C62" s="22">
        <v>8</v>
      </c>
      <c r="D62" s="17" t="s">
        <v>152</v>
      </c>
      <c r="E62" s="3" t="b">
        <v>0</v>
      </c>
      <c r="F62" s="3" t="b">
        <v>0</v>
      </c>
      <c r="G62" s="3" t="b">
        <v>0</v>
      </c>
      <c r="H62" s="3" t="b">
        <v>0</v>
      </c>
      <c r="I62" s="3" t="b">
        <v>0</v>
      </c>
      <c r="J62">
        <f t="shared" si="8"/>
        <v>0</v>
      </c>
    </row>
    <row r="63" spans="1:11" hidden="1">
      <c r="A63" s="59"/>
      <c r="C63" s="22" t="s">
        <v>153</v>
      </c>
      <c r="D63" s="44"/>
      <c r="E63" s="33"/>
      <c r="F63" s="33"/>
      <c r="G63" s="33"/>
      <c r="H63" s="33"/>
      <c r="I63" s="33"/>
      <c r="J63" t="s">
        <v>366</v>
      </c>
    </row>
    <row r="64" spans="1:11" ht="25.5" hidden="1">
      <c r="A64" t="s">
        <v>375</v>
      </c>
      <c r="B64" s="15" t="s">
        <v>154</v>
      </c>
      <c r="C64" s="22">
        <v>9</v>
      </c>
      <c r="D64" s="17" t="s">
        <v>155</v>
      </c>
      <c r="E64" s="3" t="b">
        <v>0</v>
      </c>
      <c r="F64" s="3" t="b">
        <v>0</v>
      </c>
      <c r="G64" s="3" t="b">
        <v>0</v>
      </c>
      <c r="H64" s="3" t="b">
        <v>0</v>
      </c>
      <c r="I64" s="3" t="b">
        <v>0</v>
      </c>
      <c r="J64">
        <f t="shared" ref="J64:J65" si="9">COUNTIF(E64:I64,(NOT(FALSE)))</f>
        <v>0</v>
      </c>
    </row>
    <row r="65" spans="1:11" ht="25.5" hidden="1">
      <c r="A65" t="s">
        <v>375</v>
      </c>
      <c r="B65" s="15" t="s">
        <v>156</v>
      </c>
      <c r="C65" s="22">
        <v>10</v>
      </c>
      <c r="D65" s="17" t="s">
        <v>157</v>
      </c>
      <c r="E65" s="3" t="b">
        <v>0</v>
      </c>
      <c r="F65" s="3" t="b">
        <v>0</v>
      </c>
      <c r="G65" s="3" t="b">
        <v>0</v>
      </c>
      <c r="H65" s="3" t="b">
        <v>0</v>
      </c>
      <c r="I65" s="3" t="b">
        <v>0</v>
      </c>
      <c r="J65">
        <f t="shared" si="9"/>
        <v>0</v>
      </c>
    </row>
    <row r="66" spans="1:11" ht="30" hidden="1">
      <c r="A66" s="59"/>
      <c r="C66" s="23" t="s">
        <v>158</v>
      </c>
      <c r="D66" s="47" t="s">
        <v>348</v>
      </c>
      <c r="E66" s="33"/>
      <c r="F66" s="33"/>
      <c r="G66" s="33"/>
      <c r="H66" s="33"/>
      <c r="I66" s="33"/>
      <c r="J66" t="s">
        <v>366</v>
      </c>
    </row>
    <row r="67" spans="1:11" ht="30">
      <c r="A67" t="s">
        <v>369</v>
      </c>
      <c r="B67" s="19" t="s">
        <v>159</v>
      </c>
      <c r="C67" s="23">
        <v>1</v>
      </c>
      <c r="D67" s="19" t="s">
        <v>160</v>
      </c>
      <c r="E67" s="3" t="b">
        <v>1</v>
      </c>
      <c r="F67" s="3" t="b">
        <v>0</v>
      </c>
      <c r="G67" s="3" t="b">
        <v>0</v>
      </c>
      <c r="H67" s="3" t="b">
        <v>0</v>
      </c>
      <c r="I67" s="3" t="b">
        <v>0</v>
      </c>
      <c r="J67">
        <f t="shared" ref="J67:J80" si="10">COUNTIF(E67:I67,(NOT(FALSE)))</f>
        <v>1</v>
      </c>
    </row>
    <row r="68" spans="1:11" ht="45">
      <c r="A68" t="s">
        <v>369</v>
      </c>
      <c r="B68" s="19" t="s">
        <v>161</v>
      </c>
      <c r="C68" s="23">
        <v>2</v>
      </c>
      <c r="D68" s="19" t="s">
        <v>162</v>
      </c>
      <c r="E68" s="3" t="b">
        <v>1</v>
      </c>
      <c r="F68" s="3" t="b">
        <v>0</v>
      </c>
      <c r="G68" s="3" t="b">
        <v>0</v>
      </c>
      <c r="H68" s="3" t="b">
        <v>0</v>
      </c>
      <c r="I68" s="3" t="b">
        <v>0</v>
      </c>
      <c r="J68">
        <f t="shared" si="10"/>
        <v>1</v>
      </c>
    </row>
    <row r="69" spans="1:11" ht="30">
      <c r="A69" t="s">
        <v>369</v>
      </c>
      <c r="B69" s="19" t="s">
        <v>163</v>
      </c>
      <c r="C69" s="23">
        <v>3</v>
      </c>
      <c r="D69" s="19" t="s">
        <v>164</v>
      </c>
      <c r="E69" s="3" t="b">
        <v>1</v>
      </c>
      <c r="F69" s="3" t="b">
        <v>0</v>
      </c>
      <c r="G69" s="3" t="b">
        <v>0</v>
      </c>
      <c r="H69" s="3" t="b">
        <v>0</v>
      </c>
      <c r="I69" s="3" t="b">
        <v>0</v>
      </c>
      <c r="J69">
        <f t="shared" si="10"/>
        <v>1</v>
      </c>
      <c r="K69" t="s">
        <v>390</v>
      </c>
    </row>
    <row r="70" spans="1:11" ht="45">
      <c r="A70" t="s">
        <v>369</v>
      </c>
      <c r="B70" s="19" t="s">
        <v>165</v>
      </c>
      <c r="C70" s="23">
        <v>4</v>
      </c>
      <c r="D70" s="19" t="s">
        <v>166</v>
      </c>
      <c r="E70" s="3" t="b">
        <v>1</v>
      </c>
      <c r="F70" s="3" t="b">
        <v>0</v>
      </c>
      <c r="G70" s="3" t="b">
        <v>0</v>
      </c>
      <c r="H70" s="3" t="b">
        <v>0</v>
      </c>
      <c r="I70" s="3" t="b">
        <v>0</v>
      </c>
      <c r="J70">
        <f t="shared" si="10"/>
        <v>1</v>
      </c>
      <c r="K70" t="s">
        <v>391</v>
      </c>
    </row>
    <row r="71" spans="1:11" ht="75">
      <c r="A71" t="s">
        <v>369</v>
      </c>
      <c r="B71" s="19" t="s">
        <v>167</v>
      </c>
      <c r="C71" s="23">
        <v>5</v>
      </c>
      <c r="D71" s="19" t="s">
        <v>168</v>
      </c>
      <c r="E71" s="3" t="b">
        <v>1</v>
      </c>
      <c r="F71" s="3" t="b">
        <v>0</v>
      </c>
      <c r="G71" s="3" t="b">
        <v>0</v>
      </c>
      <c r="H71" s="3" t="b">
        <v>0</v>
      </c>
      <c r="I71" s="3" t="b">
        <v>0</v>
      </c>
      <c r="J71">
        <f t="shared" si="10"/>
        <v>1</v>
      </c>
      <c r="K71" t="s">
        <v>392</v>
      </c>
    </row>
    <row r="72" spans="1:11" ht="30">
      <c r="A72" t="s">
        <v>369</v>
      </c>
      <c r="B72" s="19" t="s">
        <v>169</v>
      </c>
      <c r="C72" s="23">
        <v>6</v>
      </c>
      <c r="D72" s="19" t="s">
        <v>170</v>
      </c>
      <c r="E72" s="3" t="b">
        <v>1</v>
      </c>
      <c r="F72" s="3" t="b">
        <v>0</v>
      </c>
      <c r="G72" s="3" t="b">
        <v>0</v>
      </c>
      <c r="H72" s="3" t="b">
        <v>0</v>
      </c>
      <c r="I72" s="3" t="b">
        <v>0</v>
      </c>
      <c r="J72">
        <f t="shared" si="10"/>
        <v>1</v>
      </c>
      <c r="K72" t="s">
        <v>393</v>
      </c>
    </row>
    <row r="73" spans="1:11" ht="30">
      <c r="A73" t="s">
        <v>369</v>
      </c>
      <c r="B73" s="19" t="s">
        <v>171</v>
      </c>
      <c r="C73" s="23">
        <v>7</v>
      </c>
      <c r="D73" s="19" t="s">
        <v>172</v>
      </c>
      <c r="E73" s="3" t="b">
        <v>1</v>
      </c>
      <c r="F73" s="3" t="b">
        <v>0</v>
      </c>
      <c r="G73" s="3" t="b">
        <v>0</v>
      </c>
      <c r="H73" s="3" t="b">
        <v>0</v>
      </c>
      <c r="I73" s="3" t="b">
        <v>0</v>
      </c>
      <c r="J73">
        <f t="shared" si="10"/>
        <v>1</v>
      </c>
      <c r="K73" t="s">
        <v>394</v>
      </c>
    </row>
    <row r="74" spans="1:11">
      <c r="A74" t="s">
        <v>369</v>
      </c>
      <c r="C74" s="23" t="s">
        <v>173</v>
      </c>
      <c r="D74" s="48"/>
      <c r="E74" s="33"/>
      <c r="F74" s="33"/>
      <c r="G74" s="33"/>
      <c r="H74" s="33"/>
      <c r="I74" s="33"/>
      <c r="J74" t="s">
        <v>366</v>
      </c>
    </row>
    <row r="75" spans="1:11" ht="45">
      <c r="A75" t="s">
        <v>369</v>
      </c>
      <c r="B75" s="19" t="s">
        <v>174</v>
      </c>
      <c r="C75" s="23">
        <v>8</v>
      </c>
      <c r="D75" s="19" t="s">
        <v>175</v>
      </c>
      <c r="E75" s="3" t="b">
        <v>1</v>
      </c>
      <c r="F75" s="3" t="b">
        <v>0</v>
      </c>
      <c r="G75" s="3" t="b">
        <v>0</v>
      </c>
      <c r="H75" s="3" t="b">
        <v>0</v>
      </c>
      <c r="I75" s="3" t="b">
        <v>0</v>
      </c>
      <c r="J75">
        <f t="shared" si="10"/>
        <v>1</v>
      </c>
    </row>
    <row r="76" spans="1:11" ht="45">
      <c r="A76" t="s">
        <v>369</v>
      </c>
      <c r="B76" s="19" t="s">
        <v>176</v>
      </c>
      <c r="C76" s="23">
        <v>9</v>
      </c>
      <c r="D76" s="19" t="s">
        <v>177</v>
      </c>
      <c r="E76" s="3" t="b">
        <v>1</v>
      </c>
      <c r="F76" s="3" t="b">
        <v>0</v>
      </c>
      <c r="G76" s="3" t="b">
        <v>0</v>
      </c>
      <c r="H76" s="3" t="b">
        <v>0</v>
      </c>
      <c r="I76" s="3" t="b">
        <v>0</v>
      </c>
      <c r="J76">
        <f t="shared" si="10"/>
        <v>1</v>
      </c>
    </row>
    <row r="77" spans="1:11" ht="45">
      <c r="A77" t="s">
        <v>369</v>
      </c>
      <c r="B77" s="19" t="s">
        <v>178</v>
      </c>
      <c r="C77" s="23">
        <v>10</v>
      </c>
      <c r="D77" s="19" t="s">
        <v>179</v>
      </c>
      <c r="E77" s="3" t="b">
        <v>1</v>
      </c>
      <c r="F77" s="3" t="b">
        <v>0</v>
      </c>
      <c r="G77" s="3" t="b">
        <v>0</v>
      </c>
      <c r="H77" s="3" t="b">
        <v>0</v>
      </c>
      <c r="I77" s="3" t="b">
        <v>0</v>
      </c>
      <c r="J77">
        <f t="shared" si="10"/>
        <v>1</v>
      </c>
      <c r="K77" t="s">
        <v>382</v>
      </c>
    </row>
    <row r="78" spans="1:11" ht="45">
      <c r="A78" t="s">
        <v>369</v>
      </c>
      <c r="B78" s="19" t="s">
        <v>180</v>
      </c>
      <c r="C78" s="23">
        <v>11</v>
      </c>
      <c r="D78" s="19" t="s">
        <v>181</v>
      </c>
      <c r="E78" s="3" t="b">
        <v>1</v>
      </c>
      <c r="F78" s="3" t="b">
        <v>0</v>
      </c>
      <c r="G78" s="3" t="b">
        <v>1</v>
      </c>
      <c r="H78" s="3" t="b">
        <v>0</v>
      </c>
      <c r="I78" s="3" t="b">
        <v>0</v>
      </c>
      <c r="J78">
        <f t="shared" si="10"/>
        <v>2</v>
      </c>
    </row>
    <row r="79" spans="1:11" ht="30">
      <c r="A79" t="s">
        <v>369</v>
      </c>
      <c r="B79" s="19" t="s">
        <v>182</v>
      </c>
      <c r="C79" s="23">
        <v>12</v>
      </c>
      <c r="D79" s="19" t="s">
        <v>183</v>
      </c>
      <c r="E79" s="3" t="b">
        <v>1</v>
      </c>
      <c r="F79" s="3" t="b">
        <v>0</v>
      </c>
      <c r="G79" s="3" t="b">
        <v>0</v>
      </c>
      <c r="H79" s="3" t="b">
        <v>0</v>
      </c>
      <c r="I79" s="3" t="b">
        <v>0</v>
      </c>
      <c r="J79">
        <f t="shared" si="10"/>
        <v>1</v>
      </c>
      <c r="K79" t="s">
        <v>395</v>
      </c>
    </row>
    <row r="80" spans="1:11" ht="30">
      <c r="A80" t="s">
        <v>369</v>
      </c>
      <c r="B80" s="19" t="s">
        <v>184</v>
      </c>
      <c r="C80" s="23">
        <v>13</v>
      </c>
      <c r="D80" s="19" t="s">
        <v>185</v>
      </c>
      <c r="E80" s="3" t="b">
        <v>1</v>
      </c>
      <c r="F80" s="3" t="b">
        <v>0</v>
      </c>
      <c r="G80" s="3" t="b">
        <v>0</v>
      </c>
      <c r="H80" s="3" t="b">
        <v>0</v>
      </c>
      <c r="I80" s="3" t="b">
        <v>0</v>
      </c>
      <c r="J80">
        <f t="shared" si="10"/>
        <v>1</v>
      </c>
      <c r="K80" t="s">
        <v>396</v>
      </c>
    </row>
    <row r="81" spans="1:11" hidden="1">
      <c r="A81" s="59"/>
      <c r="C81" s="23" t="s">
        <v>186</v>
      </c>
      <c r="D81" s="49"/>
      <c r="E81" s="33"/>
      <c r="F81" s="33"/>
      <c r="G81" s="33"/>
      <c r="H81" s="33"/>
      <c r="I81" s="33"/>
      <c r="J81" t="s">
        <v>366</v>
      </c>
    </row>
    <row r="82" spans="1:11" ht="30">
      <c r="A82" t="s">
        <v>369</v>
      </c>
      <c r="B82" s="19" t="s">
        <v>187</v>
      </c>
      <c r="C82" s="23">
        <v>14</v>
      </c>
      <c r="D82" s="19" t="s">
        <v>188</v>
      </c>
      <c r="E82" s="3" t="b">
        <v>1</v>
      </c>
      <c r="F82" s="3" t="b">
        <v>0</v>
      </c>
      <c r="G82" s="3" t="b">
        <v>1</v>
      </c>
      <c r="H82" s="3" t="b">
        <v>0</v>
      </c>
      <c r="I82" s="3" t="b">
        <v>0</v>
      </c>
      <c r="J82">
        <f>COUNTIF(E82:I82,(NOT(FALSE)))</f>
        <v>2</v>
      </c>
      <c r="K82" t="s">
        <v>397</v>
      </c>
    </row>
    <row r="83" spans="1:11" hidden="1">
      <c r="A83" s="59"/>
      <c r="C83" s="23" t="s">
        <v>189</v>
      </c>
      <c r="D83" s="49"/>
      <c r="E83" s="33"/>
      <c r="F83" s="33"/>
      <c r="G83" s="33"/>
      <c r="H83" s="33"/>
      <c r="I83" s="33"/>
      <c r="J83" t="s">
        <v>366</v>
      </c>
    </row>
    <row r="84" spans="1:11" ht="30">
      <c r="A84" t="s">
        <v>369</v>
      </c>
      <c r="B84" s="19" t="s">
        <v>190</v>
      </c>
      <c r="C84" s="23">
        <v>15</v>
      </c>
      <c r="D84" s="19" t="s">
        <v>191</v>
      </c>
      <c r="E84" s="3" t="b">
        <v>1</v>
      </c>
      <c r="F84" s="3" t="b">
        <v>0</v>
      </c>
      <c r="G84" s="3" t="b">
        <v>0</v>
      </c>
      <c r="H84" s="3" t="b">
        <v>0</v>
      </c>
      <c r="I84" s="3" t="b">
        <v>0</v>
      </c>
      <c r="J84">
        <f t="shared" ref="J84:J85" si="11">COUNTIF(E84:I84,(NOT(FALSE)))</f>
        <v>1</v>
      </c>
      <c r="K84" t="s">
        <v>398</v>
      </c>
    </row>
    <row r="85" spans="1:11" ht="30">
      <c r="A85" t="s">
        <v>369</v>
      </c>
      <c r="B85" s="19" t="s">
        <v>192</v>
      </c>
      <c r="C85" s="23">
        <v>16</v>
      </c>
      <c r="D85" s="19" t="s">
        <v>193</v>
      </c>
      <c r="E85" s="3" t="b">
        <v>1</v>
      </c>
      <c r="F85" s="3" t="b">
        <v>0</v>
      </c>
      <c r="G85" s="3" t="b">
        <v>0</v>
      </c>
      <c r="H85" s="3" t="b">
        <v>0</v>
      </c>
      <c r="I85" s="3" t="b">
        <v>0</v>
      </c>
      <c r="J85">
        <f t="shared" si="11"/>
        <v>1</v>
      </c>
      <c r="K85" t="s">
        <v>399</v>
      </c>
    </row>
    <row r="86" spans="1:11" ht="30" hidden="1">
      <c r="A86" s="59"/>
      <c r="C86" s="24" t="s">
        <v>278</v>
      </c>
      <c r="D86" s="50" t="s">
        <v>349</v>
      </c>
      <c r="E86" s="33"/>
      <c r="F86" s="33"/>
      <c r="G86" s="33"/>
      <c r="H86" s="33"/>
      <c r="I86" s="33"/>
      <c r="J86" t="s">
        <v>366</v>
      </c>
    </row>
    <row r="87" spans="1:11" ht="15" customHeight="1">
      <c r="A87" t="s">
        <v>369</v>
      </c>
      <c r="B87" s="48" t="s">
        <v>194</v>
      </c>
      <c r="C87" s="25">
        <v>1</v>
      </c>
      <c r="D87" s="19" t="s">
        <v>195</v>
      </c>
      <c r="E87" s="3" t="b">
        <v>1</v>
      </c>
      <c r="F87" s="3" t="b">
        <v>0</v>
      </c>
      <c r="G87" s="3" t="b">
        <v>0</v>
      </c>
      <c r="H87" s="3" t="b">
        <v>0</v>
      </c>
      <c r="I87" s="3" t="b">
        <v>0</v>
      </c>
      <c r="J87">
        <f>COUNTIF(E87:I87,(NOT(FALSE)))</f>
        <v>1</v>
      </c>
    </row>
    <row r="88" spans="1:11">
      <c r="A88" t="s">
        <v>369</v>
      </c>
      <c r="B88" s="49"/>
      <c r="C88" s="24"/>
      <c r="D88" s="19" t="s">
        <v>196</v>
      </c>
      <c r="E88" s="3" t="b">
        <v>1</v>
      </c>
      <c r="F88" s="3" t="b">
        <v>0</v>
      </c>
      <c r="G88" s="3" t="b">
        <v>0</v>
      </c>
      <c r="H88" s="3" t="b">
        <v>0</v>
      </c>
      <c r="I88" s="3" t="b">
        <v>0</v>
      </c>
      <c r="J88">
        <f t="shared" ref="J88:J121" si="12">COUNTIF(E88:I88,(NOT(FALSE)))</f>
        <v>1</v>
      </c>
    </row>
    <row r="89" spans="1:11">
      <c r="A89" t="s">
        <v>369</v>
      </c>
      <c r="B89" s="49"/>
      <c r="C89" s="24"/>
      <c r="D89" s="19" t="s">
        <v>197</v>
      </c>
      <c r="E89" s="3" t="b">
        <v>1</v>
      </c>
      <c r="F89" s="3" t="b">
        <v>0</v>
      </c>
      <c r="G89" s="3" t="b">
        <v>0</v>
      </c>
      <c r="H89" s="3" t="b">
        <v>0</v>
      </c>
      <c r="I89" s="3" t="b">
        <v>0</v>
      </c>
      <c r="J89">
        <f t="shared" si="12"/>
        <v>1</v>
      </c>
    </row>
    <row r="90" spans="1:11">
      <c r="A90" t="s">
        <v>369</v>
      </c>
      <c r="B90" s="49"/>
      <c r="C90" s="24"/>
      <c r="D90" s="19" t="s">
        <v>198</v>
      </c>
      <c r="E90" s="3" t="b">
        <v>1</v>
      </c>
      <c r="F90" s="3" t="b">
        <v>0</v>
      </c>
      <c r="G90" s="3" t="b">
        <v>0</v>
      </c>
      <c r="H90" s="3" t="b">
        <v>0</v>
      </c>
      <c r="I90" s="3" t="b">
        <v>0</v>
      </c>
      <c r="J90">
        <f t="shared" si="12"/>
        <v>1</v>
      </c>
    </row>
    <row r="91" spans="1:11" ht="30">
      <c r="A91" t="s">
        <v>369</v>
      </c>
      <c r="B91" s="49"/>
      <c r="C91" s="24"/>
      <c r="D91" s="19" t="s">
        <v>199</v>
      </c>
      <c r="E91" s="3" t="b">
        <v>1</v>
      </c>
      <c r="F91" s="3" t="b">
        <v>0</v>
      </c>
      <c r="G91" s="3" t="b">
        <v>0</v>
      </c>
      <c r="H91" s="3" t="b">
        <v>0</v>
      </c>
      <c r="I91" s="3" t="b">
        <v>0</v>
      </c>
      <c r="J91">
        <f t="shared" si="12"/>
        <v>1</v>
      </c>
    </row>
    <row r="92" spans="1:11">
      <c r="A92" t="s">
        <v>369</v>
      </c>
      <c r="B92" s="49"/>
      <c r="C92" s="24"/>
      <c r="D92" s="19" t="s">
        <v>200</v>
      </c>
      <c r="E92" s="3" t="b">
        <v>1</v>
      </c>
      <c r="F92" s="3" t="b">
        <v>0</v>
      </c>
      <c r="G92" s="3" t="b">
        <v>0</v>
      </c>
      <c r="H92" s="3" t="b">
        <v>0</v>
      </c>
      <c r="I92" s="3" t="b">
        <v>0</v>
      </c>
      <c r="J92">
        <f t="shared" si="12"/>
        <v>1</v>
      </c>
      <c r="K92" t="s">
        <v>400</v>
      </c>
    </row>
    <row r="93" spans="1:11" ht="15" customHeight="1">
      <c r="A93" t="s">
        <v>369</v>
      </c>
      <c r="B93" s="14" t="s">
        <v>201</v>
      </c>
      <c r="C93" s="25">
        <v>2</v>
      </c>
      <c r="D93" s="19" t="s">
        <v>202</v>
      </c>
      <c r="E93" s="3" t="b">
        <v>1</v>
      </c>
      <c r="F93" s="3" t="b">
        <v>0</v>
      </c>
      <c r="G93" s="3" t="b">
        <v>0</v>
      </c>
      <c r="H93" s="3" t="b">
        <v>0</v>
      </c>
      <c r="I93" s="3" t="b">
        <v>0</v>
      </c>
      <c r="J93">
        <f t="shared" si="12"/>
        <v>1</v>
      </c>
    </row>
    <row r="94" spans="1:11" ht="30">
      <c r="A94" t="s">
        <v>369</v>
      </c>
      <c r="B94" s="49"/>
      <c r="C94" s="24"/>
      <c r="D94" s="19" t="s">
        <v>203</v>
      </c>
      <c r="E94" s="3" t="b">
        <v>1</v>
      </c>
      <c r="F94" s="3" t="b">
        <v>0</v>
      </c>
      <c r="G94" s="3" t="b">
        <v>0</v>
      </c>
      <c r="H94" s="3" t="b">
        <v>0</v>
      </c>
      <c r="I94" s="3" t="b">
        <v>0</v>
      </c>
      <c r="J94">
        <f t="shared" si="12"/>
        <v>1</v>
      </c>
    </row>
    <row r="95" spans="1:11" ht="30">
      <c r="A95" t="s">
        <v>369</v>
      </c>
      <c r="B95" s="49"/>
      <c r="C95" s="24"/>
      <c r="D95" s="19" t="s">
        <v>204</v>
      </c>
      <c r="E95" s="3" t="b">
        <v>1</v>
      </c>
      <c r="F95" s="3" t="b">
        <v>0</v>
      </c>
      <c r="G95" s="3" t="b">
        <v>0</v>
      </c>
      <c r="H95" s="3" t="b">
        <v>0</v>
      </c>
      <c r="I95" s="3" t="b">
        <v>0</v>
      </c>
      <c r="J95">
        <f t="shared" si="12"/>
        <v>1</v>
      </c>
      <c r="K95" t="s">
        <v>401</v>
      </c>
    </row>
    <row r="96" spans="1:11" ht="30">
      <c r="A96" t="s">
        <v>369</v>
      </c>
      <c r="B96" s="49"/>
      <c r="C96" s="24"/>
      <c r="D96" s="19" t="s">
        <v>205</v>
      </c>
      <c r="E96" s="3" t="b">
        <v>1</v>
      </c>
      <c r="F96" s="3" t="b">
        <v>0</v>
      </c>
      <c r="G96" s="3" t="b">
        <v>0</v>
      </c>
      <c r="H96" s="3" t="b">
        <v>0</v>
      </c>
      <c r="I96" s="3" t="b">
        <v>0</v>
      </c>
      <c r="J96">
        <f t="shared" si="12"/>
        <v>1</v>
      </c>
      <c r="K96" t="s">
        <v>402</v>
      </c>
    </row>
    <row r="97" spans="1:11" ht="30">
      <c r="A97" t="s">
        <v>369</v>
      </c>
      <c r="B97" s="49"/>
      <c r="C97" s="24"/>
      <c r="D97" s="19" t="s">
        <v>206</v>
      </c>
      <c r="E97" s="3" t="b">
        <v>1</v>
      </c>
      <c r="F97" s="3" t="b">
        <v>0</v>
      </c>
      <c r="G97" s="3" t="b">
        <v>0</v>
      </c>
      <c r="H97" s="3" t="b">
        <v>0</v>
      </c>
      <c r="I97" s="3" t="b">
        <v>0</v>
      </c>
      <c r="J97">
        <f t="shared" si="12"/>
        <v>1</v>
      </c>
      <c r="K97" t="s">
        <v>365</v>
      </c>
    </row>
    <row r="98" spans="1:11" ht="15" customHeight="1">
      <c r="A98" t="s">
        <v>369</v>
      </c>
      <c r="B98" s="14" t="s">
        <v>207</v>
      </c>
      <c r="C98" s="25">
        <v>3</v>
      </c>
      <c r="D98" s="19" t="s">
        <v>208</v>
      </c>
      <c r="E98" s="3" t="b">
        <v>1</v>
      </c>
      <c r="F98" s="3" t="b">
        <v>0</v>
      </c>
      <c r="G98" s="3" t="b">
        <v>0</v>
      </c>
      <c r="H98" s="3" t="b">
        <v>0</v>
      </c>
      <c r="I98" s="3" t="b">
        <v>0</v>
      </c>
      <c r="J98">
        <f t="shared" si="12"/>
        <v>1</v>
      </c>
    </row>
    <row r="99" spans="1:11" ht="30">
      <c r="A99" t="s">
        <v>369</v>
      </c>
      <c r="B99" s="49"/>
      <c r="C99" s="24"/>
      <c r="D99" s="19" t="s">
        <v>209</v>
      </c>
      <c r="E99" s="3" t="b">
        <v>1</v>
      </c>
      <c r="F99" s="3" t="b">
        <v>0</v>
      </c>
      <c r="G99" s="3" t="b">
        <v>0</v>
      </c>
      <c r="H99" s="3" t="b">
        <v>0</v>
      </c>
      <c r="I99" s="3" t="b">
        <v>0</v>
      </c>
      <c r="J99">
        <f t="shared" si="12"/>
        <v>1</v>
      </c>
    </row>
    <row r="100" spans="1:11">
      <c r="A100" t="s">
        <v>369</v>
      </c>
      <c r="B100" s="49"/>
      <c r="C100" s="24"/>
      <c r="D100" s="19" t="s">
        <v>210</v>
      </c>
      <c r="E100" s="3" t="b">
        <v>1</v>
      </c>
      <c r="F100" s="3" t="b">
        <v>0</v>
      </c>
      <c r="G100" s="3" t="b">
        <v>0</v>
      </c>
      <c r="H100" s="3" t="b">
        <v>0</v>
      </c>
      <c r="I100" s="3" t="b">
        <v>0</v>
      </c>
      <c r="J100">
        <f t="shared" si="12"/>
        <v>1</v>
      </c>
      <c r="K100" t="s">
        <v>403</v>
      </c>
    </row>
    <row r="101" spans="1:11">
      <c r="A101" t="s">
        <v>369</v>
      </c>
      <c r="B101" s="49"/>
      <c r="C101" s="24"/>
      <c r="D101" s="19" t="s">
        <v>211</v>
      </c>
      <c r="E101" s="3" t="b">
        <v>1</v>
      </c>
      <c r="F101" s="3" t="b">
        <v>0</v>
      </c>
      <c r="G101" s="3" t="b">
        <v>0</v>
      </c>
      <c r="H101" s="3" t="b">
        <v>0</v>
      </c>
      <c r="I101" s="3" t="b">
        <v>0</v>
      </c>
      <c r="J101">
        <f t="shared" si="12"/>
        <v>1</v>
      </c>
    </row>
    <row r="102" spans="1:11" ht="30">
      <c r="A102" t="s">
        <v>369</v>
      </c>
      <c r="B102" s="49"/>
      <c r="C102" s="24"/>
      <c r="D102" s="19" t="s">
        <v>212</v>
      </c>
      <c r="E102" s="3" t="b">
        <v>1</v>
      </c>
      <c r="F102" s="3" t="b">
        <v>0</v>
      </c>
      <c r="G102" s="3" t="b">
        <v>0</v>
      </c>
      <c r="H102" s="3" t="b">
        <v>0</v>
      </c>
      <c r="I102" s="3" t="b">
        <v>0</v>
      </c>
      <c r="J102">
        <f t="shared" si="12"/>
        <v>1</v>
      </c>
      <c r="K102" t="s">
        <v>404</v>
      </c>
    </row>
    <row r="103" spans="1:11">
      <c r="A103" t="s">
        <v>369</v>
      </c>
      <c r="B103" s="49"/>
      <c r="C103" s="24"/>
      <c r="D103" s="19" t="s">
        <v>213</v>
      </c>
      <c r="E103" s="3" t="b">
        <v>1</v>
      </c>
      <c r="F103" s="3" t="b">
        <v>0</v>
      </c>
      <c r="G103" s="3" t="b">
        <v>0</v>
      </c>
      <c r="H103" s="3" t="b">
        <v>0</v>
      </c>
      <c r="I103" s="3" t="b">
        <v>0</v>
      </c>
      <c r="J103">
        <f t="shared" si="12"/>
        <v>1</v>
      </c>
    </row>
    <row r="104" spans="1:11" ht="30">
      <c r="A104" t="s">
        <v>369</v>
      </c>
      <c r="B104" s="49"/>
      <c r="C104" s="24"/>
      <c r="D104" s="19" t="s">
        <v>214</v>
      </c>
      <c r="E104" s="3" t="b">
        <v>1</v>
      </c>
      <c r="F104" s="3" t="b">
        <v>0</v>
      </c>
      <c r="G104" s="3" t="b">
        <v>0</v>
      </c>
      <c r="H104" s="3" t="b">
        <v>0</v>
      </c>
      <c r="I104" s="3" t="b">
        <v>0</v>
      </c>
      <c r="J104">
        <f t="shared" si="12"/>
        <v>1</v>
      </c>
      <c r="K104" t="s">
        <v>405</v>
      </c>
    </row>
    <row r="105" spans="1:11">
      <c r="A105" t="s">
        <v>369</v>
      </c>
      <c r="B105" s="49"/>
      <c r="C105" s="24"/>
      <c r="D105" s="19" t="s">
        <v>215</v>
      </c>
      <c r="E105" s="3" t="b">
        <v>1</v>
      </c>
      <c r="F105" s="3" t="b">
        <v>0</v>
      </c>
      <c r="G105" s="3" t="b">
        <v>0</v>
      </c>
      <c r="H105" s="3" t="b">
        <v>0</v>
      </c>
      <c r="I105" s="3" t="b">
        <v>0</v>
      </c>
      <c r="J105">
        <f t="shared" si="12"/>
        <v>1</v>
      </c>
      <c r="K105" t="s">
        <v>405</v>
      </c>
    </row>
    <row r="106" spans="1:11" ht="30">
      <c r="A106" t="s">
        <v>369</v>
      </c>
      <c r="B106" s="49"/>
      <c r="C106" s="24"/>
      <c r="D106" s="19" t="s">
        <v>216</v>
      </c>
      <c r="E106" s="3" t="b">
        <v>1</v>
      </c>
      <c r="F106" s="3" t="b">
        <v>0</v>
      </c>
      <c r="G106" s="3" t="b">
        <v>0</v>
      </c>
      <c r="H106" s="3" t="b">
        <v>0</v>
      </c>
      <c r="I106" s="3" t="b">
        <v>0</v>
      </c>
      <c r="J106">
        <f t="shared" si="12"/>
        <v>1</v>
      </c>
    </row>
    <row r="107" spans="1:11" ht="30" customHeight="1">
      <c r="A107" t="s">
        <v>369</v>
      </c>
      <c r="B107" s="14" t="s">
        <v>217</v>
      </c>
      <c r="C107" s="25">
        <v>4</v>
      </c>
      <c r="D107" s="19" t="s">
        <v>218</v>
      </c>
      <c r="E107" s="3" t="b">
        <v>1</v>
      </c>
      <c r="F107" s="3" t="b">
        <v>0</v>
      </c>
      <c r="G107" s="3" t="b">
        <v>0</v>
      </c>
      <c r="H107" s="3" t="b">
        <v>0</v>
      </c>
      <c r="I107" s="3" t="b">
        <v>0</v>
      </c>
      <c r="J107">
        <f t="shared" si="12"/>
        <v>1</v>
      </c>
      <c r="K107" t="s">
        <v>409</v>
      </c>
    </row>
    <row r="108" spans="1:11" ht="30">
      <c r="A108" t="s">
        <v>369</v>
      </c>
      <c r="B108" s="49"/>
      <c r="C108" s="24"/>
      <c r="D108" s="19" t="s">
        <v>219</v>
      </c>
      <c r="E108" s="3" t="b">
        <v>1</v>
      </c>
      <c r="F108" s="3" t="b">
        <v>0</v>
      </c>
      <c r="G108" s="3" t="b">
        <v>0</v>
      </c>
      <c r="H108" s="3" t="b">
        <v>0</v>
      </c>
      <c r="I108" s="3" t="b">
        <v>0</v>
      </c>
      <c r="J108">
        <f t="shared" si="12"/>
        <v>1</v>
      </c>
      <c r="K108" t="s">
        <v>406</v>
      </c>
    </row>
    <row r="109" spans="1:11" ht="30">
      <c r="A109" t="s">
        <v>369</v>
      </c>
      <c r="B109" s="49"/>
      <c r="C109" s="24"/>
      <c r="D109" s="19" t="s">
        <v>220</v>
      </c>
      <c r="E109" s="3" t="b">
        <v>1</v>
      </c>
      <c r="F109" s="3" t="b">
        <v>0</v>
      </c>
      <c r="G109" s="3" t="b">
        <v>0</v>
      </c>
      <c r="H109" s="3" t="b">
        <v>0</v>
      </c>
      <c r="I109" s="3" t="b">
        <v>0</v>
      </c>
      <c r="J109">
        <f t="shared" si="12"/>
        <v>1</v>
      </c>
      <c r="K109" t="s">
        <v>406</v>
      </c>
    </row>
    <row r="110" spans="1:11">
      <c r="A110" t="s">
        <v>369</v>
      </c>
      <c r="B110" s="49"/>
      <c r="C110" s="24"/>
      <c r="D110" s="19" t="s">
        <v>221</v>
      </c>
      <c r="E110" s="3" t="b">
        <v>1</v>
      </c>
      <c r="F110" s="3" t="b">
        <v>0</v>
      </c>
      <c r="G110" s="3" t="b">
        <v>0</v>
      </c>
      <c r="H110" s="3" t="b">
        <v>0</v>
      </c>
      <c r="I110" s="3" t="b">
        <v>0</v>
      </c>
      <c r="J110">
        <f t="shared" si="12"/>
        <v>1</v>
      </c>
    </row>
    <row r="111" spans="1:11" ht="30">
      <c r="A111" t="s">
        <v>369</v>
      </c>
      <c r="B111" s="49"/>
      <c r="C111" s="24"/>
      <c r="D111" s="19" t="s">
        <v>222</v>
      </c>
      <c r="E111" s="3" t="b">
        <v>1</v>
      </c>
      <c r="F111" s="3" t="b">
        <v>0</v>
      </c>
      <c r="G111" s="3" t="b">
        <v>0</v>
      </c>
      <c r="H111" s="3" t="b">
        <v>0</v>
      </c>
      <c r="I111" s="3" t="b">
        <v>0</v>
      </c>
      <c r="J111">
        <f t="shared" si="12"/>
        <v>1</v>
      </c>
    </row>
    <row r="112" spans="1:11" ht="45">
      <c r="A112" t="s">
        <v>369</v>
      </c>
      <c r="B112" s="49"/>
      <c r="C112" s="24"/>
      <c r="D112" s="19" t="s">
        <v>223</v>
      </c>
      <c r="E112" s="3" t="b">
        <v>1</v>
      </c>
      <c r="F112" s="3" t="b">
        <v>0</v>
      </c>
      <c r="G112" s="3" t="b">
        <v>0</v>
      </c>
      <c r="H112" s="3" t="b">
        <v>0</v>
      </c>
      <c r="I112" s="3" t="b">
        <v>0</v>
      </c>
      <c r="J112">
        <f t="shared" si="12"/>
        <v>1</v>
      </c>
      <c r="K112" t="s">
        <v>358</v>
      </c>
    </row>
    <row r="113" spans="1:11" ht="60">
      <c r="A113" t="s">
        <v>369</v>
      </c>
      <c r="B113" s="49"/>
      <c r="C113" s="24"/>
      <c r="D113" s="19" t="s">
        <v>224</v>
      </c>
      <c r="E113" s="3" t="b">
        <v>1</v>
      </c>
      <c r="F113" s="3" t="b">
        <v>0</v>
      </c>
      <c r="G113" s="3" t="b">
        <v>0</v>
      </c>
      <c r="H113" s="3" t="b">
        <v>0</v>
      </c>
      <c r="I113" s="3" t="b">
        <v>0</v>
      </c>
      <c r="J113">
        <f t="shared" si="12"/>
        <v>1</v>
      </c>
    </row>
    <row r="114" spans="1:11" ht="30">
      <c r="A114" t="s">
        <v>369</v>
      </c>
      <c r="B114" s="49"/>
      <c r="C114" s="24"/>
      <c r="D114" s="19" t="s">
        <v>225</v>
      </c>
      <c r="E114" s="3" t="b">
        <v>1</v>
      </c>
      <c r="F114" s="3" t="b">
        <v>0</v>
      </c>
      <c r="G114" s="3" t="b">
        <v>0</v>
      </c>
      <c r="H114" s="3" t="b">
        <v>0</v>
      </c>
      <c r="I114" s="3" t="b">
        <v>0</v>
      </c>
      <c r="J114">
        <f t="shared" si="12"/>
        <v>1</v>
      </c>
      <c r="K114" t="s">
        <v>405</v>
      </c>
    </row>
    <row r="115" spans="1:11" ht="15" customHeight="1">
      <c r="A115" t="s">
        <v>369</v>
      </c>
      <c r="B115" s="14" t="s">
        <v>226</v>
      </c>
      <c r="C115" s="25">
        <v>5</v>
      </c>
      <c r="D115" s="19" t="s">
        <v>227</v>
      </c>
      <c r="E115" s="3" t="b">
        <v>1</v>
      </c>
      <c r="F115" s="3" t="b">
        <v>0</v>
      </c>
      <c r="G115" s="3" t="b">
        <v>0</v>
      </c>
      <c r="H115" s="3" t="b">
        <v>0</v>
      </c>
      <c r="I115" s="3" t="b">
        <v>0</v>
      </c>
      <c r="J115">
        <f t="shared" si="12"/>
        <v>1</v>
      </c>
    </row>
    <row r="116" spans="1:11" ht="30">
      <c r="A116" t="s">
        <v>369</v>
      </c>
      <c r="B116" s="49"/>
      <c r="C116" s="24"/>
      <c r="D116" s="19" t="s">
        <v>228</v>
      </c>
      <c r="E116" s="3" t="b">
        <v>1</v>
      </c>
      <c r="F116" s="3" t="b">
        <v>0</v>
      </c>
      <c r="G116" s="3" t="b">
        <v>0</v>
      </c>
      <c r="H116" s="3" t="b">
        <v>0</v>
      </c>
      <c r="I116" s="3" t="b">
        <v>0</v>
      </c>
      <c r="J116">
        <f t="shared" si="12"/>
        <v>1</v>
      </c>
    </row>
    <row r="117" spans="1:11" ht="45">
      <c r="A117" t="s">
        <v>369</v>
      </c>
      <c r="B117" s="49"/>
      <c r="C117" s="24"/>
      <c r="D117" s="19" t="s">
        <v>229</v>
      </c>
      <c r="E117" s="3" t="b">
        <v>1</v>
      </c>
      <c r="F117" s="3" t="b">
        <v>0</v>
      </c>
      <c r="G117" s="3" t="b">
        <v>0</v>
      </c>
      <c r="H117" s="3" t="b">
        <v>0</v>
      </c>
      <c r="I117" s="3" t="b">
        <v>0</v>
      </c>
      <c r="J117">
        <f t="shared" si="12"/>
        <v>1</v>
      </c>
      <c r="K117" t="s">
        <v>407</v>
      </c>
    </row>
    <row r="118" spans="1:11" ht="30">
      <c r="A118" t="s">
        <v>369</v>
      </c>
      <c r="B118" s="14" t="s">
        <v>230</v>
      </c>
      <c r="C118" s="25">
        <v>6</v>
      </c>
      <c r="D118" s="19" t="s">
        <v>231</v>
      </c>
      <c r="E118" s="3" t="b">
        <v>1</v>
      </c>
      <c r="F118" s="3" t="b">
        <v>0</v>
      </c>
      <c r="G118" s="3" t="b">
        <v>0</v>
      </c>
      <c r="H118" s="3" t="b">
        <v>0</v>
      </c>
      <c r="I118" s="3" t="b">
        <v>0</v>
      </c>
      <c r="J118">
        <f t="shared" si="12"/>
        <v>1</v>
      </c>
    </row>
    <row r="119" spans="1:11" ht="30">
      <c r="A119" t="s">
        <v>369</v>
      </c>
      <c r="B119" s="49"/>
      <c r="C119" s="24"/>
      <c r="D119" s="19" t="s">
        <v>232</v>
      </c>
      <c r="E119" s="3" t="b">
        <v>1</v>
      </c>
      <c r="F119" s="3" t="b">
        <v>0</v>
      </c>
      <c r="G119" s="3" t="b">
        <v>0</v>
      </c>
      <c r="H119" s="3" t="b">
        <v>0</v>
      </c>
      <c r="I119" s="3" t="b">
        <v>0</v>
      </c>
      <c r="J119">
        <f t="shared" si="12"/>
        <v>1</v>
      </c>
    </row>
    <row r="120" spans="1:11" ht="45">
      <c r="A120" t="s">
        <v>369</v>
      </c>
      <c r="B120" s="49"/>
      <c r="C120" s="24"/>
      <c r="D120" s="19" t="s">
        <v>233</v>
      </c>
      <c r="E120" s="3" t="b">
        <v>1</v>
      </c>
      <c r="F120" s="3" t="b">
        <v>0</v>
      </c>
      <c r="G120" s="3" t="b">
        <v>0</v>
      </c>
      <c r="H120" s="3" t="b">
        <v>0</v>
      </c>
      <c r="I120" s="3" t="b">
        <v>0</v>
      </c>
      <c r="J120">
        <f t="shared" si="12"/>
        <v>1</v>
      </c>
    </row>
    <row r="121" spans="1:11">
      <c r="A121" t="s">
        <v>369</v>
      </c>
      <c r="B121" s="49"/>
      <c r="C121" s="24"/>
      <c r="D121" s="19" t="s">
        <v>234</v>
      </c>
      <c r="E121" s="3" t="b">
        <v>0</v>
      </c>
      <c r="F121" s="3" t="b">
        <v>0</v>
      </c>
      <c r="G121" s="3" t="b">
        <v>0</v>
      </c>
      <c r="H121" s="3" t="b">
        <v>0</v>
      </c>
      <c r="I121" s="3" t="b">
        <v>0</v>
      </c>
      <c r="J121">
        <f t="shared" si="12"/>
        <v>0</v>
      </c>
      <c r="K121" t="s">
        <v>408</v>
      </c>
    </row>
    <row r="122" spans="1:11" ht="15" hidden="1" customHeight="1">
      <c r="A122" s="59"/>
      <c r="B122" s="30" t="s">
        <v>279</v>
      </c>
      <c r="C122" s="30"/>
      <c r="D122" s="30" t="s">
        <v>350</v>
      </c>
      <c r="E122" s="33"/>
      <c r="F122" s="33"/>
      <c r="G122" s="33"/>
      <c r="H122" s="33"/>
      <c r="I122" s="33"/>
      <c r="J122" t="s">
        <v>366</v>
      </c>
    </row>
    <row r="123" spans="1:11" ht="12.75" hidden="1" customHeight="1">
      <c r="A123" s="35" t="s">
        <v>367</v>
      </c>
      <c r="C123" s="30" t="s">
        <v>280</v>
      </c>
      <c r="D123" s="26" t="s">
        <v>380</v>
      </c>
      <c r="E123" s="3" t="b">
        <v>0</v>
      </c>
      <c r="F123" s="3" t="b">
        <v>0</v>
      </c>
      <c r="G123" s="3" t="b">
        <v>0</v>
      </c>
      <c r="H123" s="3" t="b">
        <v>0</v>
      </c>
      <c r="I123" s="3" t="b">
        <v>0</v>
      </c>
      <c r="J123">
        <f>COUNTIF(E123:I123,(NOT(FALSE)))</f>
        <v>0</v>
      </c>
    </row>
    <row r="124" spans="1:11" ht="12.75" hidden="1" customHeight="1">
      <c r="A124" s="35" t="s">
        <v>367</v>
      </c>
      <c r="B124" s="26" t="s">
        <v>281</v>
      </c>
      <c r="C124" s="54" t="s">
        <v>282</v>
      </c>
      <c r="D124" s="27" t="s">
        <v>283</v>
      </c>
      <c r="E124" s="3" t="b">
        <v>1</v>
      </c>
      <c r="F124" s="3" t="b">
        <v>1</v>
      </c>
      <c r="G124" s="3" t="b">
        <v>0</v>
      </c>
      <c r="H124" s="3" t="b">
        <v>0</v>
      </c>
      <c r="I124" s="3" t="b">
        <v>0</v>
      </c>
      <c r="J124">
        <f t="shared" ref="J124:J155" si="13">COUNTIF(E124:I124,(NOT(FALSE)))</f>
        <v>2</v>
      </c>
    </row>
    <row r="125" spans="1:11" ht="12.75" hidden="1" customHeight="1">
      <c r="A125" s="35" t="s">
        <v>367</v>
      </c>
      <c r="B125" s="26" t="s">
        <v>284</v>
      </c>
      <c r="C125" s="54" t="s">
        <v>285</v>
      </c>
      <c r="D125" s="27" t="s">
        <v>286</v>
      </c>
      <c r="E125" s="3" t="b">
        <v>0</v>
      </c>
      <c r="F125" s="3" t="b">
        <v>0</v>
      </c>
      <c r="G125" s="3" t="b">
        <v>0</v>
      </c>
      <c r="H125" s="3" t="b">
        <v>0</v>
      </c>
      <c r="I125" s="3" t="b">
        <v>1</v>
      </c>
      <c r="J125">
        <f t="shared" si="13"/>
        <v>1</v>
      </c>
      <c r="K125" t="s">
        <v>382</v>
      </c>
    </row>
    <row r="126" spans="1:11" ht="12.75" hidden="1" customHeight="1">
      <c r="A126" s="35" t="s">
        <v>367</v>
      </c>
      <c r="B126" s="26" t="s">
        <v>287</v>
      </c>
      <c r="C126" s="54">
        <v>2</v>
      </c>
      <c r="D126" s="27" t="s">
        <v>288</v>
      </c>
      <c r="E126" s="3" t="b">
        <v>1</v>
      </c>
      <c r="F126" s="3" t="b">
        <v>1</v>
      </c>
      <c r="G126" s="3" t="b">
        <v>1</v>
      </c>
      <c r="H126" s="3" t="b">
        <v>0</v>
      </c>
      <c r="I126" s="3" t="b">
        <v>0</v>
      </c>
      <c r="J126">
        <f t="shared" si="13"/>
        <v>3</v>
      </c>
      <c r="K126" t="s">
        <v>383</v>
      </c>
    </row>
    <row r="127" spans="1:11" ht="12.75" hidden="1" customHeight="1">
      <c r="A127" s="35" t="s">
        <v>367</v>
      </c>
      <c r="C127" s="30" t="s">
        <v>289</v>
      </c>
      <c r="D127" s="26"/>
      <c r="E127" s="33"/>
      <c r="F127" s="33"/>
      <c r="G127" s="33"/>
      <c r="H127" s="33"/>
      <c r="I127" s="33"/>
      <c r="J127" t="s">
        <v>366</v>
      </c>
    </row>
    <row r="128" spans="1:11" ht="12.75" hidden="1" customHeight="1">
      <c r="A128" s="35" t="s">
        <v>367</v>
      </c>
      <c r="B128" s="26" t="s">
        <v>290</v>
      </c>
      <c r="C128" s="54" t="s">
        <v>291</v>
      </c>
      <c r="D128" s="27" t="s">
        <v>292</v>
      </c>
      <c r="E128" s="3" t="b">
        <v>0</v>
      </c>
      <c r="F128" s="3" t="b">
        <v>0</v>
      </c>
      <c r="G128" s="3" t="b">
        <v>1</v>
      </c>
      <c r="H128" s="3" t="b">
        <v>0</v>
      </c>
      <c r="I128" s="3" t="b">
        <v>1</v>
      </c>
      <c r="J128">
        <f t="shared" si="13"/>
        <v>2</v>
      </c>
      <c r="K128" t="s">
        <v>384</v>
      </c>
    </row>
    <row r="129" spans="1:11" ht="12.75" hidden="1" customHeight="1">
      <c r="A129" s="35" t="s">
        <v>367</v>
      </c>
      <c r="B129" s="26" t="s">
        <v>293</v>
      </c>
      <c r="C129" s="54" t="s">
        <v>294</v>
      </c>
      <c r="D129" s="27" t="s">
        <v>295</v>
      </c>
      <c r="E129" s="3" t="b">
        <v>0</v>
      </c>
      <c r="F129" s="3" t="b">
        <v>0</v>
      </c>
      <c r="G129" s="3" t="b">
        <v>1</v>
      </c>
      <c r="H129" s="3" t="b">
        <v>0</v>
      </c>
      <c r="I129" s="3" t="b">
        <v>1</v>
      </c>
      <c r="J129">
        <f t="shared" si="13"/>
        <v>2</v>
      </c>
      <c r="K129" t="s">
        <v>420</v>
      </c>
    </row>
    <row r="130" spans="1:11" ht="12.75" hidden="1" customHeight="1">
      <c r="A130" s="35" t="s">
        <v>367</v>
      </c>
      <c r="B130" s="26" t="s">
        <v>296</v>
      </c>
      <c r="C130" s="54">
        <v>4</v>
      </c>
      <c r="D130" s="27" t="s">
        <v>297</v>
      </c>
      <c r="E130" s="3" t="b">
        <v>1</v>
      </c>
      <c r="F130" s="3" t="b">
        <v>0</v>
      </c>
      <c r="G130" s="3" t="b">
        <v>1</v>
      </c>
      <c r="H130" s="3" t="b">
        <v>0</v>
      </c>
      <c r="I130" s="3" t="b">
        <v>0</v>
      </c>
      <c r="J130">
        <f t="shared" si="13"/>
        <v>2</v>
      </c>
      <c r="K130" t="s">
        <v>382</v>
      </c>
    </row>
    <row r="131" spans="1:11" ht="12.75" hidden="1" customHeight="1">
      <c r="A131" s="35" t="s">
        <v>367</v>
      </c>
      <c r="C131" s="30" t="s">
        <v>298</v>
      </c>
      <c r="D131" s="26"/>
      <c r="E131" s="33"/>
      <c r="F131" s="33"/>
      <c r="G131" s="33"/>
      <c r="H131" s="33"/>
      <c r="I131" s="33"/>
      <c r="J131" t="s">
        <v>366</v>
      </c>
    </row>
    <row r="132" spans="1:11" ht="12.75" hidden="1" customHeight="1">
      <c r="A132" s="35" t="s">
        <v>367</v>
      </c>
      <c r="B132" s="26" t="s">
        <v>299</v>
      </c>
      <c r="C132" s="54" t="s">
        <v>300</v>
      </c>
      <c r="D132" s="27" t="s">
        <v>301</v>
      </c>
      <c r="E132" s="3" t="b">
        <v>1</v>
      </c>
      <c r="F132" s="3" t="b">
        <v>0</v>
      </c>
      <c r="G132" s="3" t="b">
        <v>0</v>
      </c>
      <c r="H132" s="3" t="b">
        <v>0</v>
      </c>
      <c r="I132" s="3" t="b">
        <v>0</v>
      </c>
      <c r="J132">
        <f t="shared" si="13"/>
        <v>1</v>
      </c>
      <c r="K132" t="s">
        <v>385</v>
      </c>
    </row>
    <row r="133" spans="1:11" ht="12.75" hidden="1" customHeight="1">
      <c r="A133" s="35" t="s">
        <v>367</v>
      </c>
      <c r="B133" s="26" t="s">
        <v>302</v>
      </c>
      <c r="C133" s="54" t="s">
        <v>303</v>
      </c>
      <c r="D133" s="27" t="s">
        <v>304</v>
      </c>
      <c r="E133" s="3" t="b">
        <v>1</v>
      </c>
      <c r="F133" s="3" t="b">
        <v>0</v>
      </c>
      <c r="G133" s="3" t="b">
        <v>0</v>
      </c>
      <c r="H133" s="3" t="b">
        <v>0</v>
      </c>
      <c r="I133" s="3" t="b">
        <v>0</v>
      </c>
      <c r="J133">
        <f t="shared" si="13"/>
        <v>1</v>
      </c>
      <c r="K133" t="s">
        <v>365</v>
      </c>
    </row>
    <row r="134" spans="1:11" ht="12.75" hidden="1" customHeight="1">
      <c r="A134" s="35" t="s">
        <v>367</v>
      </c>
      <c r="B134" s="26" t="s">
        <v>305</v>
      </c>
      <c r="C134" s="54" t="s">
        <v>306</v>
      </c>
      <c r="D134" t="s">
        <v>424</v>
      </c>
      <c r="E134" s="3" t="b">
        <v>1</v>
      </c>
      <c r="F134" s="3" t="b">
        <v>0</v>
      </c>
      <c r="G134" s="3" t="b">
        <v>1</v>
      </c>
      <c r="H134" s="3" t="b">
        <v>0</v>
      </c>
      <c r="I134" s="3" t="b">
        <v>0</v>
      </c>
      <c r="J134">
        <f t="shared" si="13"/>
        <v>2</v>
      </c>
      <c r="K134" t="s">
        <v>386</v>
      </c>
    </row>
    <row r="135" spans="1:11" ht="12.75" hidden="1" customHeight="1">
      <c r="A135" s="35" t="s">
        <v>367</v>
      </c>
      <c r="C135" s="30" t="s">
        <v>9</v>
      </c>
      <c r="D135" s="26"/>
      <c r="E135" s="33"/>
      <c r="F135" s="33"/>
      <c r="G135" s="33"/>
      <c r="H135" s="33"/>
      <c r="I135" s="33"/>
      <c r="J135" t="s">
        <v>366</v>
      </c>
    </row>
    <row r="136" spans="1:11" ht="12.75" hidden="1" customHeight="1">
      <c r="A136" s="35" t="s">
        <v>367</v>
      </c>
      <c r="B136" s="26" t="s">
        <v>307</v>
      </c>
      <c r="C136" s="54">
        <v>6</v>
      </c>
      <c r="D136" s="64" t="s">
        <v>308</v>
      </c>
      <c r="E136" s="3" t="b">
        <v>1</v>
      </c>
      <c r="F136" s="3" t="b">
        <v>0</v>
      </c>
      <c r="G136" s="3" t="b">
        <v>1</v>
      </c>
      <c r="H136" s="3" t="b">
        <v>0</v>
      </c>
      <c r="I136" s="3" t="b">
        <v>1</v>
      </c>
      <c r="J136">
        <f t="shared" si="13"/>
        <v>3</v>
      </c>
    </row>
    <row r="137" spans="1:11" ht="12.75" hidden="1" customHeight="1">
      <c r="A137" s="35" t="s">
        <v>367</v>
      </c>
      <c r="B137" s="26" t="s">
        <v>309</v>
      </c>
      <c r="C137" s="54">
        <v>7</v>
      </c>
      <c r="D137" s="64" t="s">
        <v>310</v>
      </c>
      <c r="E137" s="3" t="b">
        <v>1</v>
      </c>
      <c r="F137" s="3" t="b">
        <v>0</v>
      </c>
      <c r="G137" s="3" t="b">
        <v>1</v>
      </c>
      <c r="H137" s="3" t="b">
        <v>0</v>
      </c>
      <c r="I137" s="3" t="b">
        <v>1</v>
      </c>
      <c r="J137">
        <f t="shared" si="13"/>
        <v>3</v>
      </c>
    </row>
    <row r="138" spans="1:11" hidden="1">
      <c r="A138" s="59"/>
      <c r="C138" s="51" t="s">
        <v>10</v>
      </c>
      <c r="D138" s="26"/>
      <c r="E138" s="33"/>
      <c r="F138" s="33"/>
      <c r="G138" s="33"/>
      <c r="H138" s="33"/>
      <c r="I138" s="33"/>
      <c r="J138" t="s">
        <v>366</v>
      </c>
    </row>
    <row r="139" spans="1:11" ht="57" hidden="1">
      <c r="A139" t="s">
        <v>368</v>
      </c>
      <c r="B139" s="26" t="s">
        <v>311</v>
      </c>
      <c r="C139" s="31">
        <v>8</v>
      </c>
      <c r="D139" s="27" t="s">
        <v>312</v>
      </c>
      <c r="E139" s="3" t="b">
        <v>1</v>
      </c>
      <c r="F139" s="3" t="b">
        <v>1</v>
      </c>
      <c r="G139" s="3" t="b">
        <v>0</v>
      </c>
      <c r="H139" s="3" t="b">
        <v>0</v>
      </c>
      <c r="I139" s="3" t="b">
        <v>1</v>
      </c>
      <c r="J139">
        <f t="shared" si="13"/>
        <v>3</v>
      </c>
    </row>
    <row r="140" spans="1:11" ht="42.75" hidden="1">
      <c r="A140" t="s">
        <v>368</v>
      </c>
      <c r="B140" s="26" t="s">
        <v>313</v>
      </c>
      <c r="C140" s="31">
        <v>9</v>
      </c>
      <c r="D140" s="27" t="s">
        <v>314</v>
      </c>
      <c r="E140" s="3" t="b">
        <v>1</v>
      </c>
      <c r="F140" s="3" t="b">
        <v>0</v>
      </c>
      <c r="G140" s="3" t="b">
        <v>1</v>
      </c>
      <c r="H140" s="3" t="b">
        <v>0</v>
      </c>
      <c r="I140" s="3" t="b">
        <v>0</v>
      </c>
      <c r="J140">
        <f t="shared" si="13"/>
        <v>2</v>
      </c>
    </row>
    <row r="141" spans="1:11" ht="42.75" hidden="1">
      <c r="A141" t="s">
        <v>368</v>
      </c>
      <c r="B141" s="26" t="s">
        <v>315</v>
      </c>
      <c r="C141" s="31">
        <v>10</v>
      </c>
      <c r="D141" s="27" t="s">
        <v>316</v>
      </c>
      <c r="E141" s="3" t="b">
        <v>1</v>
      </c>
      <c r="F141" s="3" t="b">
        <v>0</v>
      </c>
      <c r="G141" s="3" t="b">
        <v>1</v>
      </c>
      <c r="H141" s="3" t="b">
        <v>0</v>
      </c>
      <c r="I141" s="3" t="b">
        <v>0</v>
      </c>
      <c r="J141">
        <f t="shared" si="13"/>
        <v>2</v>
      </c>
    </row>
    <row r="142" spans="1:11" ht="15" hidden="1" customHeight="1">
      <c r="A142" s="59"/>
      <c r="C142" s="51" t="s">
        <v>163</v>
      </c>
      <c r="D142" s="26"/>
      <c r="E142" s="33"/>
      <c r="F142" s="33"/>
      <c r="G142" s="33"/>
      <c r="H142" s="33"/>
      <c r="I142" s="33"/>
      <c r="J142" t="s">
        <v>366</v>
      </c>
    </row>
    <row r="143" spans="1:11" ht="28.5" hidden="1">
      <c r="A143" t="s">
        <v>368</v>
      </c>
      <c r="B143" s="26" t="s">
        <v>317</v>
      </c>
      <c r="C143" s="31" t="s">
        <v>318</v>
      </c>
      <c r="D143" s="27" t="s">
        <v>319</v>
      </c>
      <c r="E143" s="3" t="b">
        <v>1</v>
      </c>
      <c r="F143" s="3" t="b">
        <v>0</v>
      </c>
      <c r="G143" s="3" t="b">
        <v>1</v>
      </c>
      <c r="H143" s="3" t="b">
        <v>0</v>
      </c>
      <c r="I143" s="3" t="b">
        <v>0</v>
      </c>
      <c r="J143">
        <f t="shared" si="13"/>
        <v>2</v>
      </c>
    </row>
    <row r="144" spans="1:11" ht="42.75" hidden="1">
      <c r="A144" t="s">
        <v>368</v>
      </c>
      <c r="B144" s="26" t="s">
        <v>320</v>
      </c>
      <c r="C144" s="31" t="s">
        <v>321</v>
      </c>
      <c r="D144" s="27" t="s">
        <v>322</v>
      </c>
      <c r="E144" s="3" t="b">
        <v>1</v>
      </c>
      <c r="F144" s="3" t="b">
        <v>0</v>
      </c>
      <c r="G144" s="3" t="b">
        <v>1</v>
      </c>
      <c r="H144" s="3" t="b">
        <v>0</v>
      </c>
      <c r="I144" s="3" t="b">
        <v>0</v>
      </c>
      <c r="J144">
        <f t="shared" si="13"/>
        <v>2</v>
      </c>
    </row>
    <row r="145" spans="1:11" ht="42.75" hidden="1">
      <c r="A145" t="s">
        <v>368</v>
      </c>
      <c r="B145" s="26" t="s">
        <v>323</v>
      </c>
      <c r="C145" s="31" t="s">
        <v>324</v>
      </c>
      <c r="D145" s="27" t="s">
        <v>325</v>
      </c>
      <c r="E145" s="3" t="b">
        <v>1</v>
      </c>
      <c r="F145" s="3" t="b">
        <v>0</v>
      </c>
      <c r="G145" s="3" t="b">
        <v>1</v>
      </c>
      <c r="H145" s="3" t="b">
        <v>0</v>
      </c>
      <c r="I145" s="3" t="b">
        <v>0</v>
      </c>
      <c r="J145">
        <f t="shared" si="13"/>
        <v>2</v>
      </c>
    </row>
    <row r="146" spans="1:11" ht="42.75" hidden="1">
      <c r="A146" t="s">
        <v>368</v>
      </c>
      <c r="B146" s="26" t="s">
        <v>326</v>
      </c>
      <c r="C146" s="31">
        <v>12</v>
      </c>
      <c r="D146" s="27" t="s">
        <v>327</v>
      </c>
      <c r="E146" s="3" t="b">
        <v>1</v>
      </c>
      <c r="F146" s="3" t="b">
        <v>0</v>
      </c>
      <c r="G146" s="3" t="b">
        <v>1</v>
      </c>
      <c r="H146" s="3" t="b">
        <v>0</v>
      </c>
      <c r="I146" s="3" t="b">
        <v>0</v>
      </c>
      <c r="J146">
        <f t="shared" si="13"/>
        <v>2</v>
      </c>
    </row>
    <row r="147" spans="1:11" ht="42.75" hidden="1">
      <c r="A147" t="s">
        <v>368</v>
      </c>
      <c r="B147" s="26" t="s">
        <v>328</v>
      </c>
      <c r="C147" s="31">
        <v>13</v>
      </c>
      <c r="D147" s="27" t="s">
        <v>329</v>
      </c>
      <c r="E147" s="3" t="b">
        <v>1</v>
      </c>
      <c r="F147" s="3" t="b">
        <v>0</v>
      </c>
      <c r="G147" s="3" t="b">
        <v>1</v>
      </c>
      <c r="H147" s="3" t="b">
        <v>0</v>
      </c>
      <c r="I147" s="3" t="b">
        <v>0</v>
      </c>
      <c r="J147">
        <f t="shared" si="13"/>
        <v>2</v>
      </c>
      <c r="K147" t="s">
        <v>388</v>
      </c>
    </row>
    <row r="148" spans="1:11" ht="57" hidden="1">
      <c r="A148" t="s">
        <v>368</v>
      </c>
      <c r="B148" s="26" t="s">
        <v>330</v>
      </c>
      <c r="C148" s="31">
        <v>14</v>
      </c>
      <c r="D148" s="27" t="s">
        <v>331</v>
      </c>
      <c r="E148" s="3" t="b">
        <v>0</v>
      </c>
      <c r="F148" s="3" t="b">
        <v>0</v>
      </c>
      <c r="G148" s="3" t="b">
        <v>1</v>
      </c>
      <c r="H148" s="3" t="b">
        <v>0</v>
      </c>
      <c r="I148" s="3" t="b">
        <v>0</v>
      </c>
      <c r="J148">
        <f t="shared" si="13"/>
        <v>1</v>
      </c>
    </row>
    <row r="149" spans="1:11" hidden="1">
      <c r="A149" s="59"/>
      <c r="C149" s="51" t="s">
        <v>332</v>
      </c>
      <c r="D149" s="26"/>
      <c r="E149" s="33"/>
      <c r="F149" s="33"/>
      <c r="G149" s="33"/>
      <c r="H149" s="33"/>
      <c r="I149" s="33"/>
      <c r="J149" t="s">
        <v>366</v>
      </c>
    </row>
    <row r="150" spans="1:11" ht="28.5" hidden="1">
      <c r="A150" t="s">
        <v>368</v>
      </c>
      <c r="B150" s="26" t="s">
        <v>333</v>
      </c>
      <c r="C150" s="31" t="s">
        <v>334</v>
      </c>
      <c r="D150" s="27" t="s">
        <v>335</v>
      </c>
      <c r="E150" s="3" t="b">
        <v>0</v>
      </c>
      <c r="F150" s="3" t="b">
        <v>0</v>
      </c>
      <c r="G150" s="3" t="b">
        <v>1</v>
      </c>
      <c r="H150" s="3" t="b">
        <v>0</v>
      </c>
      <c r="I150" s="3" t="b">
        <v>0</v>
      </c>
      <c r="J150">
        <f t="shared" si="13"/>
        <v>1</v>
      </c>
    </row>
    <row r="151" spans="1:11" ht="57" hidden="1">
      <c r="A151" t="s">
        <v>368</v>
      </c>
      <c r="B151" s="26"/>
      <c r="C151" s="31" t="s">
        <v>336</v>
      </c>
      <c r="D151" s="27" t="s">
        <v>337</v>
      </c>
      <c r="E151" s="3" t="b">
        <v>0</v>
      </c>
      <c r="F151" s="3" t="b">
        <v>0</v>
      </c>
      <c r="G151" s="3" t="b">
        <v>1</v>
      </c>
      <c r="H151" s="3" t="b">
        <v>0</v>
      </c>
      <c r="I151" s="3" t="b">
        <v>0</v>
      </c>
      <c r="J151">
        <f t="shared" si="13"/>
        <v>1</v>
      </c>
    </row>
    <row r="152" spans="1:11" ht="28.5" hidden="1">
      <c r="A152" t="s">
        <v>368</v>
      </c>
      <c r="B152" s="26"/>
      <c r="C152" s="31" t="s">
        <v>338</v>
      </c>
      <c r="D152" s="27" t="s">
        <v>339</v>
      </c>
      <c r="E152" s="3" t="b">
        <v>1</v>
      </c>
      <c r="F152" s="3" t="b">
        <v>0</v>
      </c>
      <c r="G152" s="3" t="b">
        <v>1</v>
      </c>
      <c r="H152" s="3" t="b">
        <v>0</v>
      </c>
      <c r="I152" s="3" t="b">
        <v>0</v>
      </c>
      <c r="J152">
        <f t="shared" si="13"/>
        <v>2</v>
      </c>
      <c r="K152" t="s">
        <v>389</v>
      </c>
    </row>
    <row r="153" spans="1:11" ht="28.5" hidden="1">
      <c r="A153" t="s">
        <v>368</v>
      </c>
      <c r="B153" s="26"/>
      <c r="C153" s="31" t="s">
        <v>340</v>
      </c>
      <c r="D153" s="27" t="s">
        <v>341</v>
      </c>
      <c r="E153" s="3" t="b">
        <v>0</v>
      </c>
      <c r="F153" s="3" t="b">
        <v>0</v>
      </c>
      <c r="G153" s="3" t="b">
        <v>1</v>
      </c>
      <c r="H153" s="3" t="b">
        <v>0</v>
      </c>
      <c r="I153" s="3" t="b">
        <v>0</v>
      </c>
      <c r="J153">
        <f t="shared" si="13"/>
        <v>1</v>
      </c>
      <c r="K153" t="s">
        <v>365</v>
      </c>
    </row>
    <row r="154" spans="1:11" ht="28.5" hidden="1">
      <c r="A154" t="s">
        <v>368</v>
      </c>
      <c r="B154" s="26" t="s">
        <v>342</v>
      </c>
      <c r="C154" s="31">
        <v>16</v>
      </c>
      <c r="D154" s="27" t="s">
        <v>343</v>
      </c>
      <c r="E154" s="3" t="b">
        <v>0</v>
      </c>
      <c r="F154" s="3" t="b">
        <v>0</v>
      </c>
      <c r="G154" s="3" t="b">
        <v>1</v>
      </c>
      <c r="H154" s="3" t="b">
        <v>0</v>
      </c>
      <c r="I154" s="3" t="b">
        <v>0</v>
      </c>
      <c r="J154">
        <f t="shared" si="13"/>
        <v>1</v>
      </c>
    </row>
    <row r="155" spans="1:11" ht="43.5" hidden="1" thickBot="1">
      <c r="A155" t="s">
        <v>368</v>
      </c>
      <c r="B155" s="28" t="s">
        <v>344</v>
      </c>
      <c r="C155" s="32">
        <v>17</v>
      </c>
      <c r="D155" s="29" t="s">
        <v>345</v>
      </c>
      <c r="E155" s="3" t="b">
        <v>0</v>
      </c>
      <c r="F155" s="3" t="b">
        <v>0</v>
      </c>
      <c r="G155" s="3" t="b">
        <v>1</v>
      </c>
      <c r="H155" s="3" t="b">
        <v>0</v>
      </c>
      <c r="I155" s="3" t="b">
        <v>0</v>
      </c>
      <c r="J155">
        <f t="shared" si="13"/>
        <v>1</v>
      </c>
    </row>
    <row r="156" spans="1:11" ht="18" customHeight="1">
      <c r="B156" s="60"/>
    </row>
    <row r="157" spans="1:11" ht="18" customHeight="1"/>
    <row r="158" spans="1:11" ht="18" customHeight="1"/>
    <row r="159" spans="1:11" ht="18" customHeight="1"/>
    <row r="160" spans="1:11"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sheetData>
  <autoFilter ref="A1:K155" xr:uid="{7648BC2A-312E-453A-BBA9-B96484F08716}">
    <filterColumn colId="0">
      <filters>
        <filter val="3 Estrategia de búsqueda"/>
      </filters>
    </filterColumn>
  </autoFilter>
  <conditionalFormatting sqref="J3 J5 J7:J8 J10:J26 J28:J38 J40:J43 J45:J50 J52 J54 J56:J59 J61:J62 J64:J65 J67:J80 J82 J84:J85 J87:J126 J128:J130 J132:J134 J136:J155">
    <cfRule type="cellIs" dxfId="6" priority="2" operator="between">
      <formula>1</formula>
      <formula>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B29819D-4C85-407F-9FAE-C434916810B1}">
          <x14:formula1>
            <xm:f>Hoja3!$D$22:$D$31</xm:f>
          </x14:formula1>
          <xm:sqref>A87:A121 A150:A155 A143:A148 A139:A141 A123:A137 A84:A85 A10:A26 A67:A80 A82 A45:A50 A56:A59 A54 A7:A8 A64:A65 A52 A40:A43 A28:A38 A61:A62 A5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5566C-09BB-4B15-B773-C8E83CF6F677}">
  <dimension ref="C1:N31"/>
  <sheetViews>
    <sheetView topLeftCell="A15" workbookViewId="0">
      <selection activeCell="C10" sqref="C10:C17"/>
    </sheetView>
  </sheetViews>
  <sheetFormatPr baseColWidth="10" defaultRowHeight="15"/>
  <cols>
    <col min="2" max="2" width="3" customWidth="1"/>
    <col min="3" max="3" width="24" customWidth="1"/>
    <col min="5" max="5" width="88.7109375" customWidth="1"/>
  </cols>
  <sheetData>
    <row r="1" spans="3:14">
      <c r="C1" s="2"/>
      <c r="D1" s="35"/>
      <c r="F1" s="11"/>
      <c r="N1" s="2"/>
    </row>
    <row r="2" spans="3:14">
      <c r="C2" s="2"/>
      <c r="D2" s="35"/>
      <c r="F2" s="11"/>
      <c r="I2" s="2"/>
      <c r="K2" s="2"/>
      <c r="N2" s="2"/>
    </row>
    <row r="3" spans="3:14">
      <c r="C3" s="2"/>
      <c r="D3" s="35"/>
      <c r="F3" s="11"/>
      <c r="K3" s="2"/>
      <c r="N3" s="2"/>
    </row>
    <row r="4" spans="3:14">
      <c r="C4" s="2"/>
      <c r="D4" s="35"/>
      <c r="F4" s="11"/>
      <c r="G4" s="2"/>
      <c r="H4" s="2"/>
      <c r="I4" s="2"/>
      <c r="K4" s="2"/>
      <c r="N4" s="2"/>
    </row>
    <row r="5" spans="3:14">
      <c r="C5" s="2"/>
      <c r="D5" s="35"/>
      <c r="F5" s="11"/>
      <c r="N5" s="2"/>
    </row>
    <row r="6" spans="3:14">
      <c r="C6" s="2"/>
      <c r="D6" s="35"/>
      <c r="F6" s="4"/>
    </row>
    <row r="7" spans="3:14" ht="45">
      <c r="C7" s="2"/>
      <c r="D7" s="35"/>
      <c r="F7" s="4" t="s">
        <v>271</v>
      </c>
      <c r="G7" t="s">
        <v>272</v>
      </c>
      <c r="H7" t="s">
        <v>273</v>
      </c>
      <c r="I7" t="s">
        <v>274</v>
      </c>
      <c r="J7" s="2" t="s">
        <v>275</v>
      </c>
    </row>
    <row r="8" spans="3:14">
      <c r="C8" s="2"/>
      <c r="D8" s="35"/>
      <c r="F8" s="4"/>
      <c r="J8" s="2"/>
    </row>
    <row r="9" spans="3:14" s="10" customFormat="1">
      <c r="C9" s="11" t="s">
        <v>3</v>
      </c>
      <c r="D9" s="41" t="s">
        <v>4</v>
      </c>
      <c r="E9" s="10" t="s">
        <v>5</v>
      </c>
      <c r="F9" s="55" t="s">
        <v>271</v>
      </c>
      <c r="G9" s="10" t="s">
        <v>20</v>
      </c>
      <c r="H9" s="63"/>
      <c r="I9" s="63"/>
    </row>
    <row r="10" spans="3:14">
      <c r="C10" s="2" t="s">
        <v>29</v>
      </c>
      <c r="D10" s="35">
        <v>0</v>
      </c>
      <c r="E10" t="s">
        <v>270</v>
      </c>
      <c r="F10" s="4" t="s">
        <v>274</v>
      </c>
      <c r="G10" s="13">
        <v>46266</v>
      </c>
    </row>
    <row r="11" spans="3:14">
      <c r="C11" s="2" t="s">
        <v>6</v>
      </c>
      <c r="D11" s="42">
        <v>1</v>
      </c>
      <c r="E11" t="s">
        <v>7</v>
      </c>
      <c r="F11" s="4" t="s">
        <v>273</v>
      </c>
      <c r="G11" s="13">
        <v>46325</v>
      </c>
    </row>
    <row r="12" spans="3:14" ht="14.25" customHeight="1">
      <c r="C12" s="2" t="s">
        <v>0</v>
      </c>
      <c r="D12" s="42">
        <v>2</v>
      </c>
      <c r="E12" t="s">
        <v>8</v>
      </c>
      <c r="F12" s="4" t="s">
        <v>272</v>
      </c>
      <c r="G12" s="13">
        <v>46325</v>
      </c>
    </row>
    <row r="13" spans="3:14" ht="15" customHeight="1">
      <c r="C13" s="2" t="s">
        <v>9</v>
      </c>
      <c r="D13" s="42" t="s">
        <v>16</v>
      </c>
      <c r="E13" t="s">
        <v>235</v>
      </c>
      <c r="F13" s="4" t="s">
        <v>273</v>
      </c>
      <c r="G13" s="13">
        <v>46280</v>
      </c>
    </row>
    <row r="14" spans="3:14">
      <c r="C14" s="2" t="s">
        <v>10</v>
      </c>
      <c r="D14" s="42" t="s">
        <v>17</v>
      </c>
      <c r="E14" t="s">
        <v>12</v>
      </c>
      <c r="F14" s="4" t="s">
        <v>273</v>
      </c>
      <c r="G14" s="13">
        <v>46295</v>
      </c>
    </row>
    <row r="15" spans="3:14" ht="16.5" customHeight="1">
      <c r="C15" s="2" t="s">
        <v>1</v>
      </c>
      <c r="D15" s="42" t="s">
        <v>18</v>
      </c>
      <c r="E15" t="s">
        <v>14</v>
      </c>
      <c r="F15" s="4" t="s">
        <v>273</v>
      </c>
      <c r="G15" s="13">
        <v>46310</v>
      </c>
    </row>
    <row r="16" spans="3:14">
      <c r="C16" s="2" t="s">
        <v>11</v>
      </c>
      <c r="D16" s="42" t="s">
        <v>19</v>
      </c>
      <c r="E16" t="s">
        <v>13</v>
      </c>
      <c r="F16" s="4" t="s">
        <v>272</v>
      </c>
      <c r="G16" s="13">
        <v>46325</v>
      </c>
    </row>
    <row r="17" spans="3:8">
      <c r="C17" s="2" t="s">
        <v>2</v>
      </c>
      <c r="D17" s="42">
        <v>27</v>
      </c>
      <c r="E17" t="s">
        <v>15</v>
      </c>
      <c r="F17" s="4"/>
    </row>
    <row r="18" spans="3:8">
      <c r="C18" s="2"/>
      <c r="D18" s="35"/>
      <c r="F18" s="4"/>
    </row>
    <row r="19" spans="3:8">
      <c r="C19" s="2"/>
      <c r="D19" s="35"/>
      <c r="F19" s="4"/>
    </row>
    <row r="20" spans="3:8">
      <c r="C20" s="2"/>
      <c r="D20" s="35"/>
      <c r="F20" s="4"/>
    </row>
    <row r="21" spans="3:8" ht="30">
      <c r="C21" s="38" t="s">
        <v>353</v>
      </c>
      <c r="D21" s="41" t="s">
        <v>276</v>
      </c>
      <c r="E21" s="20" t="s">
        <v>352</v>
      </c>
      <c r="F21" s="4" t="s">
        <v>271</v>
      </c>
      <c r="G21" t="s">
        <v>355</v>
      </c>
      <c r="H21" s="10" t="s">
        <v>356</v>
      </c>
    </row>
    <row r="22" spans="3:8">
      <c r="C22" s="39">
        <v>46235</v>
      </c>
      <c r="D22" s="40" t="s">
        <v>367</v>
      </c>
      <c r="E22" s="40" t="s">
        <v>241</v>
      </c>
      <c r="F22" s="56" t="s">
        <v>354</v>
      </c>
      <c r="G22">
        <f>COUNTIFS(Checklist!J:J,"&lt;&gt;0",Checklist!A:A,Tabla1[[#This Row],[FASE]],Checklist!J:J,"0")</f>
        <v>0</v>
      </c>
    </row>
    <row r="23" spans="3:8">
      <c r="C23" s="39">
        <v>46245</v>
      </c>
      <c r="D23" s="40" t="s">
        <v>368</v>
      </c>
      <c r="E23" s="40" t="s">
        <v>244</v>
      </c>
      <c r="F23" s="56" t="s">
        <v>354</v>
      </c>
    </row>
    <row r="24" spans="3:8">
      <c r="C24" s="39">
        <v>46266</v>
      </c>
      <c r="D24" s="40" t="s">
        <v>369</v>
      </c>
      <c r="E24" s="40" t="s">
        <v>247</v>
      </c>
      <c r="F24" s="56" t="s">
        <v>354</v>
      </c>
    </row>
    <row r="25" spans="3:8">
      <c r="C25" s="39">
        <v>46268</v>
      </c>
      <c r="D25" s="40" t="s">
        <v>370</v>
      </c>
      <c r="E25" s="40" t="s">
        <v>250</v>
      </c>
      <c r="F25" s="57" t="s">
        <v>273</v>
      </c>
    </row>
    <row r="26" spans="3:8">
      <c r="C26" s="39">
        <v>46280</v>
      </c>
      <c r="D26" s="40" t="s">
        <v>371</v>
      </c>
      <c r="E26" s="40" t="s">
        <v>253</v>
      </c>
      <c r="F26" s="4"/>
    </row>
    <row r="27" spans="3:8">
      <c r="C27" s="39">
        <v>46295</v>
      </c>
      <c r="D27" s="40" t="s">
        <v>372</v>
      </c>
      <c r="E27" s="40" t="s">
        <v>256</v>
      </c>
      <c r="F27" s="4"/>
    </row>
    <row r="28" spans="3:8">
      <c r="C28" s="39">
        <v>46310</v>
      </c>
      <c r="D28" s="40" t="s">
        <v>373</v>
      </c>
      <c r="E28" s="40" t="s">
        <v>259</v>
      </c>
      <c r="F28" s="4"/>
    </row>
    <row r="29" spans="3:8">
      <c r="C29" s="39">
        <v>46325</v>
      </c>
      <c r="D29" s="40" t="s">
        <v>374</v>
      </c>
      <c r="E29" s="40" t="s">
        <v>351</v>
      </c>
      <c r="F29" s="4"/>
    </row>
    <row r="30" spans="3:8">
      <c r="C30" s="39">
        <v>46341</v>
      </c>
      <c r="D30" s="40" t="s">
        <v>375</v>
      </c>
      <c r="E30" s="40" t="s">
        <v>265</v>
      </c>
      <c r="F30" s="4"/>
    </row>
    <row r="31" spans="3:8">
      <c r="C31" s="39">
        <v>46356</v>
      </c>
      <c r="D31" s="40" t="s">
        <v>376</v>
      </c>
      <c r="E31" s="40" t="s">
        <v>268</v>
      </c>
      <c r="F31" s="4"/>
      <c r="G31" s="36"/>
    </row>
  </sheetData>
  <mergeCells count="1">
    <mergeCell ref="H9:I9"/>
  </mergeCells>
  <conditionalFormatting sqref="F7:F8">
    <cfRule type="dataBar" priority="7">
      <dataBar>
        <cfvo type="min"/>
        <cfvo type="max"/>
        <color rgb="FF638EC6"/>
      </dataBar>
      <extLst>
        <ext xmlns:x14="http://schemas.microsoft.com/office/spreadsheetml/2009/9/main" uri="{B025F937-C7B1-47D3-B67F-A62EFF666E3E}">
          <x14:id>{76241686-B4DF-41E6-B5E0-A3043C601F12}</x14:id>
        </ext>
      </extLst>
    </cfRule>
  </conditionalFormatting>
  <conditionalFormatting sqref="F10:F17">
    <cfRule type="dataBar" priority="11">
      <dataBar>
        <cfvo type="min"/>
        <cfvo type="max"/>
        <color rgb="FF638EC6"/>
      </dataBar>
      <extLst>
        <ext xmlns:x14="http://schemas.microsoft.com/office/spreadsheetml/2009/9/main" uri="{B025F937-C7B1-47D3-B67F-A62EFF666E3E}">
          <x14:id>{6818D1FD-A8F7-4C01-A334-C1F41C1F69A2}</x14:id>
        </ext>
      </extLst>
    </cfRule>
  </conditionalFormatting>
  <conditionalFormatting sqref="G7:G8">
    <cfRule type="dataBar" priority="6">
      <dataBar>
        <cfvo type="min"/>
        <cfvo type="max"/>
        <color rgb="FF638EC6"/>
      </dataBar>
      <extLst>
        <ext xmlns:x14="http://schemas.microsoft.com/office/spreadsheetml/2009/9/main" uri="{B025F937-C7B1-47D3-B67F-A62EFF666E3E}">
          <x14:id>{B3773B97-4F60-442B-A5CD-0F8BE3DAE24B}</x14:id>
        </ext>
      </extLst>
    </cfRule>
  </conditionalFormatting>
  <conditionalFormatting sqref="H7:H8">
    <cfRule type="dataBar" priority="5">
      <dataBar>
        <cfvo type="min"/>
        <cfvo type="max"/>
        <color rgb="FF638EC6"/>
      </dataBar>
      <extLst>
        <ext xmlns:x14="http://schemas.microsoft.com/office/spreadsheetml/2009/9/main" uri="{B025F937-C7B1-47D3-B67F-A62EFF666E3E}">
          <x14:id>{5A53CA71-6847-4FFB-BD88-A24489AE3D93}</x14:id>
        </ext>
      </extLst>
    </cfRule>
  </conditionalFormatting>
  <conditionalFormatting sqref="I7:I8">
    <cfRule type="dataBar" priority="4">
      <dataBar>
        <cfvo type="min"/>
        <cfvo type="max"/>
        <color rgb="FF638EC6"/>
      </dataBar>
      <extLst>
        <ext xmlns:x14="http://schemas.microsoft.com/office/spreadsheetml/2009/9/main" uri="{B025F937-C7B1-47D3-B67F-A62EFF666E3E}">
          <x14:id>{2C4C4C5F-6B8F-4F88-8D00-51707B13280E}</x14:id>
        </ext>
      </extLst>
    </cfRule>
  </conditionalFormatting>
  <dataValidations count="2">
    <dataValidation type="list" allowBlank="1" showInputMessage="1" showErrorMessage="1" sqref="F10:F17" xr:uid="{2383DF80-BA04-434E-9B21-FDE2D93B1A43}">
      <formula1>$G$7:$I$7</formula1>
    </dataValidation>
    <dataValidation type="list" allowBlank="1" showInputMessage="1" showErrorMessage="1" sqref="H10:I17 G17" xr:uid="{7B9865FA-CC0F-4050-B0B6-C74F87A7E0B8}">
      <formula1>$F$1:$F$5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6241686-B4DF-41E6-B5E0-A3043C601F12}">
            <x14:dataBar minLength="0" maxLength="100" gradient="0">
              <x14:cfvo type="autoMin"/>
              <x14:cfvo type="autoMax"/>
              <x14:negativeFillColor rgb="FFFF0000"/>
              <x14:axisColor rgb="FF000000"/>
            </x14:dataBar>
          </x14:cfRule>
          <xm:sqref>F7:F8</xm:sqref>
        </x14:conditionalFormatting>
        <x14:conditionalFormatting xmlns:xm="http://schemas.microsoft.com/office/excel/2006/main">
          <x14:cfRule type="containsText" priority="8" operator="containsText" id="{6F8D37F5-259A-4B3B-B83F-5D0842338415}">
            <xm:f>NOT(ISERROR(SEARCH($I$7,F10)))</xm:f>
            <xm:f>$I$7</xm:f>
            <x14:dxf>
              <font>
                <b/>
                <i val="0"/>
                <color rgb="FFFFC000"/>
              </font>
              <fill>
                <patternFill>
                  <bgColor rgb="FF7030A0"/>
                </patternFill>
              </fill>
            </x14:dxf>
          </x14:cfRule>
          <x14:cfRule type="containsText" priority="9" operator="containsText" id="{EF20C1AE-8C26-4BCD-A163-8956FD8FE5CC}">
            <xm:f>NOT(ISERROR(SEARCH($H$7,F10)))</xm:f>
            <xm:f>$H$7</xm:f>
            <x14:dxf>
              <font>
                <b/>
                <i val="0"/>
              </font>
              <fill>
                <patternFill>
                  <bgColor theme="9" tint="0.59996337778862885"/>
                </patternFill>
              </fill>
            </x14:dxf>
          </x14:cfRule>
          <x14:cfRule type="containsText" priority="10" operator="containsText" id="{760D94B7-8AF4-4EFE-8FE7-7B1A078EE634}">
            <xm:f>NOT(ISERROR(SEARCH($G$7,F10)))</xm:f>
            <xm:f>$G$7</xm:f>
            <x14:dxf>
              <font>
                <b/>
                <i val="0"/>
                <color theme="1"/>
              </font>
              <fill>
                <patternFill>
                  <bgColor theme="0" tint="-0.24994659260841701"/>
                </patternFill>
              </fill>
            </x14:dxf>
          </x14:cfRule>
          <xm:sqref>F10:F16</xm:sqref>
        </x14:conditionalFormatting>
        <x14:conditionalFormatting xmlns:xm="http://schemas.microsoft.com/office/excel/2006/main">
          <x14:cfRule type="dataBar" id="{6818D1FD-A8F7-4C01-A334-C1F41C1F69A2}">
            <x14:dataBar minLength="0" maxLength="100" gradient="0">
              <x14:cfvo type="autoMin"/>
              <x14:cfvo type="autoMax"/>
              <x14:negativeFillColor rgb="FFFF0000"/>
              <x14:axisColor rgb="FF000000"/>
            </x14:dataBar>
          </x14:cfRule>
          <xm:sqref>F10:F17</xm:sqref>
        </x14:conditionalFormatting>
        <x14:conditionalFormatting xmlns:xm="http://schemas.microsoft.com/office/excel/2006/main">
          <x14:cfRule type="containsText" priority="1" operator="containsText" id="{7888BFA1-7776-41AB-8DAD-9AB07C100AB9}">
            <xm:f>NOT(ISERROR(SEARCH($I$7,F7)))</xm:f>
            <xm:f>$I$7</xm:f>
            <x14:dxf>
              <font>
                <b/>
                <i val="0"/>
                <color rgb="FFFFC000"/>
              </font>
              <fill>
                <patternFill>
                  <bgColor rgb="FF7030A0"/>
                </patternFill>
              </fill>
            </x14:dxf>
          </x14:cfRule>
          <x14:cfRule type="containsText" priority="2" operator="containsText" id="{D6BEAF4F-F1FB-4B6C-B3A8-4F33F256B493}">
            <xm:f>NOT(ISERROR(SEARCH($H$7,F7)))</xm:f>
            <xm:f>$H$7</xm:f>
            <x14:dxf>
              <font>
                <b/>
                <i val="0"/>
              </font>
              <fill>
                <patternFill>
                  <bgColor theme="9" tint="0.59996337778862885"/>
                </patternFill>
              </fill>
            </x14:dxf>
          </x14:cfRule>
          <x14:cfRule type="containsText" priority="3" operator="containsText" id="{EEAAB75D-D340-4FF4-BB84-AB7985611C87}">
            <xm:f>NOT(ISERROR(SEARCH($G$7,F7)))</xm:f>
            <xm:f>$G$7</xm:f>
            <x14:dxf>
              <font>
                <b/>
                <i val="0"/>
                <color theme="1"/>
              </font>
              <fill>
                <patternFill>
                  <bgColor theme="0" tint="-0.24994659260841701"/>
                </patternFill>
              </fill>
            </x14:dxf>
          </x14:cfRule>
          <xm:sqref>F7:I8</xm:sqref>
        </x14:conditionalFormatting>
        <x14:conditionalFormatting xmlns:xm="http://schemas.microsoft.com/office/excel/2006/main">
          <x14:cfRule type="dataBar" id="{B3773B97-4F60-442B-A5CD-0F8BE3DAE24B}">
            <x14:dataBar minLength="0" maxLength="100" gradient="0">
              <x14:cfvo type="autoMin"/>
              <x14:cfvo type="autoMax"/>
              <x14:negativeFillColor rgb="FFFF0000"/>
              <x14:axisColor rgb="FF000000"/>
            </x14:dataBar>
          </x14:cfRule>
          <xm:sqref>G7:G8</xm:sqref>
        </x14:conditionalFormatting>
        <x14:conditionalFormatting xmlns:xm="http://schemas.microsoft.com/office/excel/2006/main">
          <x14:cfRule type="dataBar" id="{5A53CA71-6847-4FFB-BD88-A24489AE3D93}">
            <x14:dataBar minLength="0" maxLength="100" gradient="0">
              <x14:cfvo type="autoMin"/>
              <x14:cfvo type="autoMax"/>
              <x14:negativeFillColor rgb="FFFF0000"/>
              <x14:axisColor rgb="FF000000"/>
            </x14:dataBar>
          </x14:cfRule>
          <xm:sqref>H7:H8</xm:sqref>
        </x14:conditionalFormatting>
        <x14:conditionalFormatting xmlns:xm="http://schemas.microsoft.com/office/excel/2006/main">
          <x14:cfRule type="dataBar" id="{2C4C4C5F-6B8F-4F88-8D00-51707B13280E}">
            <x14:dataBar minLength="0" maxLength="100" gradient="0">
              <x14:cfvo type="autoMin"/>
              <x14:cfvo type="autoMax"/>
              <x14:negativeFillColor rgb="FFFF0000"/>
              <x14:axisColor rgb="FF000000"/>
            </x14:dataBar>
          </x14:cfRule>
          <xm:sqref>I7:I8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4E8E-856E-4E03-8455-2E2F6113AED3}">
  <dimension ref="A1:M26"/>
  <sheetViews>
    <sheetView workbookViewId="0">
      <selection activeCell="E22" sqref="E22"/>
    </sheetView>
  </sheetViews>
  <sheetFormatPr baseColWidth="10" defaultRowHeight="15"/>
  <cols>
    <col min="1" max="1" width="18.42578125" customWidth="1"/>
    <col min="2" max="2" width="16.140625" style="2" customWidth="1"/>
    <col min="3" max="3" width="6.42578125" style="4" customWidth="1"/>
    <col min="4" max="4" width="69.85546875" style="2" customWidth="1"/>
    <col min="5" max="9" width="15.5703125" customWidth="1"/>
    <col min="10" max="10" width="6.85546875" customWidth="1"/>
  </cols>
  <sheetData>
    <row r="1" spans="1:13" ht="45">
      <c r="E1" s="2" t="s">
        <v>21</v>
      </c>
      <c r="F1" s="2" t="s">
        <v>22</v>
      </c>
      <c r="G1" s="2" t="s">
        <v>24</v>
      </c>
      <c r="H1" s="2" t="s">
        <v>25</v>
      </c>
      <c r="I1" s="2" t="s">
        <v>23</v>
      </c>
      <c r="L1" s="2"/>
      <c r="M1" s="2"/>
    </row>
    <row r="2" spans="1:13">
      <c r="E2" t="s">
        <v>28</v>
      </c>
      <c r="F2" t="s">
        <v>28</v>
      </c>
      <c r="G2" t="s">
        <v>27</v>
      </c>
      <c r="H2" t="s">
        <v>26</v>
      </c>
      <c r="I2" t="s">
        <v>26</v>
      </c>
      <c r="L2" s="2"/>
      <c r="M2" s="2"/>
    </row>
    <row r="3" spans="1:13" s="10" customFormat="1">
      <c r="A3" s="10" t="s">
        <v>20</v>
      </c>
      <c r="B3" s="11" t="s">
        <v>3</v>
      </c>
      <c r="C3" s="10" t="s">
        <v>4</v>
      </c>
      <c r="D3" s="11" t="s">
        <v>5</v>
      </c>
      <c r="E3" s="11" t="s">
        <v>130</v>
      </c>
      <c r="F3" s="11" t="s">
        <v>131</v>
      </c>
      <c r="G3" s="11" t="s">
        <v>132</v>
      </c>
      <c r="H3" s="11" t="s">
        <v>133</v>
      </c>
      <c r="I3" s="11" t="s">
        <v>134</v>
      </c>
    </row>
    <row r="4" spans="1:13">
      <c r="A4" s="1">
        <v>46266</v>
      </c>
      <c r="B4" s="2" t="s">
        <v>29</v>
      </c>
      <c r="C4" s="4">
        <v>0</v>
      </c>
      <c r="D4" s="2" t="s">
        <v>236</v>
      </c>
      <c r="E4" s="3" t="b">
        <v>1</v>
      </c>
      <c r="F4" s="3" t="b">
        <v>0</v>
      </c>
      <c r="G4" s="3" t="b">
        <v>1</v>
      </c>
      <c r="H4" s="3" t="b">
        <v>0</v>
      </c>
      <c r="I4" s="3" t="b">
        <v>1</v>
      </c>
    </row>
    <row r="5" spans="1:13">
      <c r="A5" s="1">
        <v>46325</v>
      </c>
      <c r="B5" s="2" t="s">
        <v>6</v>
      </c>
      <c r="C5" s="5">
        <v>1</v>
      </c>
      <c r="D5" s="2" t="s">
        <v>7</v>
      </c>
      <c r="E5" s="3" t="b">
        <v>0</v>
      </c>
      <c r="F5" s="3" t="b">
        <v>0</v>
      </c>
      <c r="G5" s="3" t="b">
        <v>1</v>
      </c>
      <c r="H5" s="3" t="b">
        <v>1</v>
      </c>
      <c r="I5" s="3" t="b">
        <v>1</v>
      </c>
    </row>
    <row r="6" spans="1:13" ht="14.25" customHeight="1">
      <c r="A6" s="1">
        <v>46325</v>
      </c>
      <c r="B6" s="2" t="s">
        <v>0</v>
      </c>
      <c r="C6" s="5">
        <v>2</v>
      </c>
      <c r="D6" s="2" t="s">
        <v>8</v>
      </c>
      <c r="E6" s="3" t="b">
        <v>0</v>
      </c>
      <c r="F6" s="3" t="b">
        <v>0</v>
      </c>
      <c r="G6" s="3" t="b">
        <v>0</v>
      </c>
      <c r="H6" s="3" t="b">
        <v>0</v>
      </c>
      <c r="I6" s="3" t="b">
        <v>0</v>
      </c>
    </row>
    <row r="7" spans="1:13" ht="45">
      <c r="A7" s="1">
        <v>46280</v>
      </c>
      <c r="B7" s="2" t="s">
        <v>9</v>
      </c>
      <c r="C7" s="5" t="s">
        <v>16</v>
      </c>
      <c r="D7" s="2" t="s">
        <v>235</v>
      </c>
      <c r="E7" s="3" t="b">
        <v>0</v>
      </c>
      <c r="F7" s="3" t="b">
        <v>0</v>
      </c>
      <c r="G7" s="3" t="b">
        <v>0</v>
      </c>
      <c r="H7" s="3" t="b">
        <v>0</v>
      </c>
      <c r="I7" s="3" t="b">
        <v>0</v>
      </c>
    </row>
    <row r="8" spans="1:13" ht="60">
      <c r="A8" s="1">
        <v>46295</v>
      </c>
      <c r="B8" s="2" t="s">
        <v>10</v>
      </c>
      <c r="C8" s="5" t="s">
        <v>17</v>
      </c>
      <c r="D8" s="2" t="s">
        <v>12</v>
      </c>
      <c r="E8" s="3" t="b">
        <v>0</v>
      </c>
      <c r="F8" s="3" t="b">
        <v>0</v>
      </c>
      <c r="G8" s="3" t="b">
        <v>0</v>
      </c>
      <c r="H8" s="3" t="b">
        <v>0</v>
      </c>
      <c r="I8" s="3" t="b">
        <v>0</v>
      </c>
    </row>
    <row r="9" spans="1:13" ht="45">
      <c r="A9" s="1">
        <v>46310</v>
      </c>
      <c r="B9" s="2" t="s">
        <v>1</v>
      </c>
      <c r="C9" s="5" t="s">
        <v>18</v>
      </c>
      <c r="D9" s="2" t="s">
        <v>14</v>
      </c>
      <c r="E9" s="3" t="b">
        <v>0</v>
      </c>
      <c r="F9" s="3" t="b">
        <v>0</v>
      </c>
      <c r="G9" s="3" t="b">
        <v>0</v>
      </c>
      <c r="H9" s="3" t="b">
        <v>0</v>
      </c>
      <c r="I9" s="3" t="b">
        <v>0</v>
      </c>
    </row>
    <row r="10" spans="1:13">
      <c r="A10" s="1">
        <v>46325</v>
      </c>
      <c r="B10" s="2" t="s">
        <v>11</v>
      </c>
      <c r="C10" s="5" t="s">
        <v>19</v>
      </c>
      <c r="D10" s="2" t="s">
        <v>13</v>
      </c>
      <c r="E10" s="3" t="b">
        <v>0</v>
      </c>
      <c r="F10" s="3" t="b">
        <v>0</v>
      </c>
      <c r="G10" s="3" t="b">
        <v>0</v>
      </c>
      <c r="H10" s="3" t="b">
        <v>0</v>
      </c>
      <c r="I10" s="3" t="b">
        <v>0</v>
      </c>
    </row>
    <row r="11" spans="1:13" ht="30">
      <c r="B11" s="2" t="s">
        <v>2</v>
      </c>
      <c r="C11" s="5">
        <v>27</v>
      </c>
      <c r="D11" s="2" t="s">
        <v>15</v>
      </c>
      <c r="E11" s="3" t="b">
        <v>0</v>
      </c>
      <c r="F11" s="3" t="b">
        <v>0</v>
      </c>
      <c r="G11" s="3" t="b">
        <v>0</v>
      </c>
      <c r="H11" s="3" t="b">
        <v>0</v>
      </c>
      <c r="I11" s="3" t="b">
        <v>0</v>
      </c>
    </row>
    <row r="15" spans="1:13" ht="15.75" thickBot="1"/>
    <row r="16" spans="1:13" ht="30.75" thickBot="1">
      <c r="A16" s="8" t="s">
        <v>237</v>
      </c>
      <c r="B16" s="6" t="s">
        <v>239</v>
      </c>
      <c r="D16" s="6" t="s">
        <v>238</v>
      </c>
      <c r="E16" s="11" t="s">
        <v>130</v>
      </c>
      <c r="F16" s="11" t="s">
        <v>131</v>
      </c>
      <c r="G16" s="11" t="s">
        <v>132</v>
      </c>
      <c r="H16" s="11" t="s">
        <v>133</v>
      </c>
      <c r="I16" s="11" t="s">
        <v>134</v>
      </c>
    </row>
    <row r="17" spans="1:9" ht="29.25" thickBot="1">
      <c r="A17" s="9" t="s">
        <v>240</v>
      </c>
      <c r="B17" s="7" t="s">
        <v>242</v>
      </c>
      <c r="D17" s="7" t="s">
        <v>241</v>
      </c>
      <c r="E17" s="3" t="b">
        <v>1</v>
      </c>
      <c r="F17" s="3" t="b">
        <v>1</v>
      </c>
      <c r="G17" s="3" t="b">
        <v>1</v>
      </c>
      <c r="H17" s="3" t="b">
        <v>1</v>
      </c>
      <c r="I17" s="3" t="b">
        <v>1</v>
      </c>
    </row>
    <row r="18" spans="1:9" ht="15.75" thickBot="1">
      <c r="A18" s="9" t="s">
        <v>243</v>
      </c>
      <c r="B18" s="7" t="s">
        <v>245</v>
      </c>
      <c r="D18" s="7" t="s">
        <v>244</v>
      </c>
      <c r="E18" s="3" t="b">
        <v>1</v>
      </c>
      <c r="F18" s="3" t="b">
        <v>0</v>
      </c>
      <c r="G18" s="3" t="b">
        <v>1</v>
      </c>
      <c r="H18" s="3" t="b">
        <v>0</v>
      </c>
      <c r="I18" s="3" t="b">
        <v>0</v>
      </c>
    </row>
    <row r="19" spans="1:9" ht="29.25" thickBot="1">
      <c r="A19" s="9" t="s">
        <v>246</v>
      </c>
      <c r="B19" s="7" t="s">
        <v>248</v>
      </c>
      <c r="D19" s="7" t="s">
        <v>247</v>
      </c>
      <c r="E19" s="3" t="b">
        <v>1</v>
      </c>
      <c r="F19" s="3" t="b">
        <v>0</v>
      </c>
      <c r="G19" s="3" t="b">
        <v>1</v>
      </c>
      <c r="H19" s="3" t="b">
        <v>0</v>
      </c>
      <c r="I19" s="3" t="b">
        <v>0</v>
      </c>
    </row>
    <row r="20" spans="1:9" ht="29.25" thickBot="1">
      <c r="A20" s="9" t="s">
        <v>249</v>
      </c>
      <c r="B20" s="7" t="s">
        <v>251</v>
      </c>
      <c r="D20" s="7" t="s">
        <v>250</v>
      </c>
      <c r="E20" s="3" t="b">
        <v>1</v>
      </c>
      <c r="F20" s="3" t="b">
        <v>0</v>
      </c>
      <c r="G20" s="3" t="b">
        <v>1</v>
      </c>
      <c r="H20" s="3" t="b">
        <v>0</v>
      </c>
      <c r="I20" s="3" t="b">
        <v>0</v>
      </c>
    </row>
    <row r="21" spans="1:9" ht="29.25" thickBot="1">
      <c r="A21" s="9" t="s">
        <v>252</v>
      </c>
      <c r="B21" s="7" t="s">
        <v>254</v>
      </c>
      <c r="D21" s="7" t="s">
        <v>253</v>
      </c>
      <c r="E21" s="3" t="b">
        <v>0</v>
      </c>
      <c r="F21" s="3" t="b">
        <v>0</v>
      </c>
      <c r="G21" s="3" t="b">
        <v>0</v>
      </c>
      <c r="H21" s="3" t="b">
        <v>0</v>
      </c>
      <c r="I21" s="3" t="b">
        <v>0</v>
      </c>
    </row>
    <row r="22" spans="1:9" ht="29.25" thickBot="1">
      <c r="A22" s="9" t="s">
        <v>255</v>
      </c>
      <c r="B22" s="7" t="s">
        <v>257</v>
      </c>
      <c r="D22" s="7" t="s">
        <v>256</v>
      </c>
      <c r="E22" s="3" t="b">
        <v>1</v>
      </c>
      <c r="F22" s="3" t="b">
        <v>0</v>
      </c>
      <c r="G22" s="3" t="b">
        <v>0</v>
      </c>
      <c r="H22" s="3" t="b">
        <v>0</v>
      </c>
      <c r="I22" s="3" t="b">
        <v>0</v>
      </c>
    </row>
    <row r="23" spans="1:9" ht="29.25" thickBot="1">
      <c r="A23" s="9" t="s">
        <v>258</v>
      </c>
      <c r="B23" s="7" t="s">
        <v>260</v>
      </c>
      <c r="D23" s="7" t="s">
        <v>259</v>
      </c>
      <c r="E23" s="3" t="b">
        <v>0</v>
      </c>
      <c r="F23" s="3" t="b">
        <v>0</v>
      </c>
      <c r="G23" s="3" t="b">
        <v>0</v>
      </c>
      <c r="H23" s="3" t="b">
        <v>0</v>
      </c>
      <c r="I23" s="3" t="b">
        <v>0</v>
      </c>
    </row>
    <row r="24" spans="1:9" ht="29.25" thickBot="1">
      <c r="A24" s="9" t="s">
        <v>261</v>
      </c>
      <c r="B24" s="7" t="s">
        <v>263</v>
      </c>
      <c r="D24" s="7" t="s">
        <v>262</v>
      </c>
      <c r="E24" s="3" t="b">
        <v>0</v>
      </c>
      <c r="F24" s="3" t="b">
        <v>0</v>
      </c>
      <c r="G24" s="3" t="b">
        <v>0</v>
      </c>
      <c r="H24" s="3" t="b">
        <v>0</v>
      </c>
      <c r="I24" s="3" t="b">
        <v>0</v>
      </c>
    </row>
    <row r="25" spans="1:9" ht="29.25" thickBot="1">
      <c r="A25" s="9" t="s">
        <v>264</v>
      </c>
      <c r="B25" s="7" t="s">
        <v>266</v>
      </c>
      <c r="D25" s="7" t="s">
        <v>265</v>
      </c>
      <c r="E25" s="3" t="b">
        <v>0</v>
      </c>
      <c r="F25" s="3" t="b">
        <v>0</v>
      </c>
      <c r="G25" s="3" t="b">
        <v>0</v>
      </c>
      <c r="H25" s="3" t="b">
        <v>0</v>
      </c>
      <c r="I25" s="3" t="b">
        <v>0</v>
      </c>
    </row>
    <row r="26" spans="1:9" ht="29.25" thickBot="1">
      <c r="A26" s="9" t="s">
        <v>267</v>
      </c>
      <c r="B26" s="7" t="s">
        <v>269</v>
      </c>
      <c r="D26" s="7" t="s">
        <v>268</v>
      </c>
      <c r="E26" s="3" t="b">
        <v>0</v>
      </c>
      <c r="F26" s="3" t="b">
        <v>0</v>
      </c>
      <c r="G26" s="3" t="b">
        <v>0</v>
      </c>
      <c r="H26" s="3" t="b">
        <v>0</v>
      </c>
      <c r="I26" s="3" t="b">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953ABB-ED77-4932-97A8-27D98A26F1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CALENDARIO</vt:lpstr>
      <vt:lpstr>Hoja2</vt:lpstr>
      <vt:lpstr>Checklist</vt:lpstr>
      <vt:lpstr>Hoja3</vt:lpstr>
      <vt:lpstr>SeccinTema-tem-Checklistitem.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Aranda Rosas</dc:creator>
  <cp:lastModifiedBy>Estefania Aranda Rosas</cp:lastModifiedBy>
  <cp:lastPrinted>2026-09-04T00:19:31Z</cp:lastPrinted>
  <dcterms:created xsi:type="dcterms:W3CDTF">2026-09-01T22:28:12Z</dcterms:created>
  <dcterms:modified xsi:type="dcterms:W3CDTF">2026-09-14T03:31:21Z</dcterms:modified>
</cp:coreProperties>
</file>